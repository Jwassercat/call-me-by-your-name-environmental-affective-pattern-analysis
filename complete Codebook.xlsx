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jemincejem/Downloads/LAB/GitHub/"/>
    </mc:Choice>
  </mc:AlternateContent>
  <xr:revisionPtr revIDLastSave="0" documentId="13_ncr:1_{B30242F1-316C-9649-8CAB-B92C9211749E}" xr6:coauthVersionLast="47" xr6:coauthVersionMax="47" xr10:uidLastSave="{00000000-0000-0000-0000-000000000000}"/>
  <bookViews>
    <workbookView xWindow="3400" yWindow="680" windowWidth="30800" windowHeight="18680" activeTab="2" xr2:uid="{00000000-000D-0000-FFFF-FFFF00000000}"/>
  </bookViews>
  <sheets>
    <sheet name="Stages" sheetId="11" r:id="rId1"/>
    <sheet name="Human_Clip_Annotation" sheetId="1" r:id="rId2"/>
    <sheet name="AI_Background_Detection" sheetId="2" r:id="rId3"/>
    <sheet name="LAB_Metrics" sheetId="3" r:id="rId4"/>
    <sheet name="Analysis_Output" sheetId="4" r:id="rId5"/>
    <sheet name="Stage_Summary" sheetId="5" r:id="rId6"/>
    <sheet name="Global_Findings" sheetId="6" r:id="rId7"/>
    <sheet name="Controlled_Vocabulary" sheetId="7" r:id="rId8"/>
    <sheet name="Workflow_Guide" sheetId="8" r:id="rId9"/>
    <sheet name="Processing_Log" sheetId="9" r:id="rId10"/>
    <sheet name="Clip_Rankings" sheetId="10" r:id="rId11"/>
  </sheets>
  <calcPr calcId="0"/>
</workbook>
</file>

<file path=xl/sharedStrings.xml><?xml version="1.0" encoding="utf-8"?>
<sst xmlns="http://schemas.openxmlformats.org/spreadsheetml/2006/main" count="1675" uniqueCount="831">
  <si>
    <t>film_id</t>
  </si>
  <si>
    <t>clip_id</t>
  </si>
  <si>
    <t>narrative_order</t>
  </si>
  <si>
    <t>stage</t>
  </si>
  <si>
    <t>screenshot_folder_path_local</t>
  </si>
  <si>
    <t>screenshot_review_status</t>
  </si>
  <si>
    <t>focal_characters_human</t>
  </si>
  <si>
    <t>focal_environmental_element_human</t>
  </si>
  <si>
    <t>time_of_day_human</t>
  </si>
  <si>
    <t>key_character_action_human</t>
  </si>
  <si>
    <t>focal_character_emotion_human</t>
  </si>
  <si>
    <t>human_affective_scene_summary</t>
  </si>
  <si>
    <t>notes_optional</t>
  </si>
  <si>
    <t>CMBYN</t>
  </si>
  <si>
    <t>clip1</t>
  </si>
  <si>
    <t>Setup</t>
  </si>
  <si>
    <t>/Users/jemincejem/Downloads/LAB/call_me_by_your_name/clips/clip1/screenshots</t>
  </si>
  <si>
    <t>ready</t>
  </si>
  <si>
    <t>Elio; Oliver</t>
  </si>
  <si>
    <t>small private swimming pool</t>
  </si>
  <si>
    <t>summer day</t>
  </si>
  <si>
    <t>Elio and Oliver swim in the small outdoor pool for the first time; Oliver playfully tests bodily proximity with Elio.</t>
  </si>
  <si>
    <t>Elio feels curiosity, bodily exposure, and early flirtatious uncertainty.</t>
  </si>
  <si>
    <t>The scene introduces desire through playful bodily proximity; intimacy is emerging but still tentative.</t>
  </si>
  <si>
    <t>clip2</t>
  </si>
  <si>
    <t>/Users/jemincejem/Downloads/LAB/call_me_by_your_name/clips/clip2/screenshots</t>
  </si>
  <si>
    <t>Elio and Oliver swim in the small outdoor pool for the second time; Oliver reveals emotinoal vulnerability to Elio.</t>
  </si>
  <si>
    <t>Elio feels curiosity, attraction, emotional uncertainty, and restrained tenderness toward Oliver.</t>
  </si>
  <si>
    <t>The scene develops intimacy through bodily closeness while keeping affection emotionally ambiguous and only partly disclosed.</t>
  </si>
  <si>
    <t>clip3</t>
  </si>
  <si>
    <t>Act I</t>
  </si>
  <si>
    <t>/Users/jemincejem/Downloads/LAB/call_me_by_your_name/clips/clip3/screenshots</t>
  </si>
  <si>
    <t>Elio; Marzia; Oliver as absent emotional reference</t>
  </si>
  <si>
    <t>public lake</t>
  </si>
  <si>
    <t>summer night</t>
  </si>
  <si>
    <t>After a public dance, Elio leaves the crowd and swims in the lake with Marzia.</t>
  </si>
  <si>
    <t>Elio feels jealous of Oliver dancing and kissing a girl; Elio conceals his discomfort and turns to Marzia.</t>
  </si>
  <si>
    <t>The scene displaces Elio’s jealousy and concealed desire for Oliver into temporary intimacy with Marzia.</t>
  </si>
  <si>
    <t>clip4</t>
  </si>
  <si>
    <t>/Users/jemincejem/Downloads/LAB/call_me_by_your_name/clips/clip4/screenshots</t>
  </si>
  <si>
    <t>open big lake Garda; archaeological site</t>
  </si>
  <si>
    <t>Elio and Oliver reconcile after a conflict near an archaeological site by Lake Garda where a Venus sculpture is excavated.</t>
  </si>
  <si>
    <t>Elio and Oliver feel relief, renewed emotional openness, and growing attraction.</t>
  </si>
  <si>
    <t>The scene turns reconciliation into a moment of renewed pleasure, emotional stability, and tentative openness.</t>
  </si>
  <si>
    <t>clip5</t>
  </si>
  <si>
    <t>/Users/jemincejem/Downloads/LAB/call_me_by_your_name/clips/clip5/screenshots</t>
  </si>
  <si>
    <t>Elio; Oliver; Mr. Perlman</t>
  </si>
  <si>
    <t>summer evening</t>
  </si>
  <si>
    <t>Elio, Oliver, and Elio’s father swim in Lake Garda together.</t>
  </si>
  <si>
    <t>Elio and Oliver feel joy and openness, but their affection remains partly concealed in the father’s presence.</t>
  </si>
  <si>
    <t>The scene combines shared pleasure with restrained affection because intimacy occurs within a family/social setting.</t>
  </si>
  <si>
    <t>clip6</t>
  </si>
  <si>
    <t>/Users/jemincejem/Downloads/LAB/call_me_by_your_name/clips/clip6/screenshots</t>
  </si>
  <si>
    <t>small private swimming pool; orchard</t>
  </si>
  <si>
    <t>Elio and Oliver sit near the pool and discuss a fictional romantic relationship; Oliver soaks his legs in the pool while Elio sits nearby.</t>
  </si>
  <si>
    <t>Both characters feel desire, fear of rejection and social scrutiny, emotional vulnerability, and hesitation about disclosure.</t>
  </si>
  <si>
    <t>The scene stages desire as indirect speech and metaphorical storytelling; affection is close to disclosure but remains anxious and concealed.</t>
  </si>
  <si>
    <t>clip7</t>
  </si>
  <si>
    <t>Act II</t>
  </si>
  <si>
    <t>/Users/jemincejem/Downloads/LAB/call_me_by_your_name/clips/clip7/screenshots</t>
  </si>
  <si>
    <t>secret pond</t>
  </si>
  <si>
    <t>Elio brings Oliver to his secret pond; they spend time there and play in the water.</t>
  </si>
  <si>
    <t>Elio feels excitement, intimacy, and emotional openness mixed with fear of denial.</t>
  </si>
  <si>
    <t>The scene links private disclosure with playful intimacy; desire becomes more open while retaining slight insecurity.</t>
  </si>
  <si>
    <t>clip8</t>
  </si>
  <si>
    <t>/Users/jemincejem/Downloads/LAB/call_me_by_your_name/clips/clip8/screenshots</t>
  </si>
  <si>
    <t>Elio alone; public background figures</t>
  </si>
  <si>
    <t>After their first kiss, Elio swims alone in a crowded public lake while waiting for Oliver’s response.</t>
  </si>
  <si>
    <t>Elio feels vulnerable, lonely, and uncertain about Oliver’s response.</t>
  </si>
  <si>
    <t>Solitary swimming becomes a scene of emotional uncertainty; bodily openness is mixed with loneliness and fear of rejection.</t>
  </si>
  <si>
    <t>clip9</t>
  </si>
  <si>
    <t>/Users/jemincejem/Downloads/LAB/call_me_by_your_name/clips/clip9/screenshots</t>
  </si>
  <si>
    <t>Elio; Marzia</t>
  </si>
  <si>
    <t>Elio waits for Oliver’s response after their first kiss; Elio seeks temporary emotional comfort from Marzia in the pool.</t>
  </si>
  <si>
    <t>Elio feels unsettled by uncertainty over Oliver; he turns to Marzia for temporary consolation.</t>
  </si>
  <si>
    <t>The scene displaces uncertainty about Oliver into intimacy with Marzia; pleasure becomes temporary consolation rather than resolution.</t>
  </si>
  <si>
    <t>clip10</t>
  </si>
  <si>
    <t>Act III</t>
  </si>
  <si>
    <t>/Users/jemincejem/Downloads/LAB/call_me_by_your_name/clips/clip10/screenshots</t>
  </si>
  <si>
    <t>summer dawn</t>
  </si>
  <si>
    <t>After sex/intimate contact, Elio and Oliver swim together in the lake when no other people are visible.</t>
  </si>
  <si>
    <t>Elio and Oliver feel doubt, fear, vulnerability, and anxiety about loss or judgment.</t>
  </si>
  <si>
    <t>The scene shifts from passion to uncertainty; intimacy is present but shadowed by fear, doubt, and anticipated loss.</t>
  </si>
  <si>
    <t>clip11</t>
  </si>
  <si>
    <t>/Users/jemincejem/Downloads/LAB/call_me_by_your_name/clips/clip11/screenshots</t>
  </si>
  <si>
    <t>waterfall; mountain</t>
  </si>
  <si>
    <t>Oliver and Elio visit the waterfall during their farewell trip.</t>
  </si>
  <si>
    <t>Elio and Oliver feel joy, excitement, emotional openness, and heightened tenderness before separation.</t>
  </si>
  <si>
    <t>The scene releases desire into expressive joy while remaining emotionally charged by the approaching farewell.</t>
  </si>
  <si>
    <t>clip12</t>
  </si>
  <si>
    <t>/Users/jemincejem/Downloads/LAB/call_me_by_your_name/clips/clip12/screenshots</t>
  </si>
  <si>
    <t>No visible character; frozen pond as focal environment</t>
  </si>
  <si>
    <t>frozen secret pond</t>
  </si>
  <si>
    <t>winter day</t>
  </si>
  <si>
    <t>No character action; the frozen pond is shown after Elio and Oliver’s separation.</t>
  </si>
  <si>
    <t>N/A; environment-only affective image.</t>
  </si>
  <si>
    <t>The scene presents emotional aftermath through environmental stillness, absence, and seasonal change.</t>
  </si>
  <si>
    <t>clip13</t>
  </si>
  <si>
    <t>/Users/jemincejem/Downloads/LAB/call_me_by_your_name/clips/clip13/screenshots</t>
  </si>
  <si>
    <t>Elio-Marzia observing Oliver; Oliver-Perlmans interacting</t>
  </si>
  <si>
    <t>courtyard; villa exterior; trees</t>
  </si>
  <si>
    <t>Elio and Marzia observe Oliver arriving at the Perlman home; Oliver greets and speaks with the Perlmans.</t>
  </si>
  <si>
    <t>Elio feels curiosity and anticipatory interest.</t>
  </si>
  <si>
    <t>Oliver’s arrival is staged through observation; the scene introduces curiosity before desire becomes explicit.</t>
  </si>
  <si>
    <t>clip14</t>
  </si>
  <si>
    <t>/Users/jemincejem/Downloads/LAB/call_me_by_your_name/clips/clip14/screenshots</t>
  </si>
  <si>
    <t>Elio; Oliver; friends/crowd</t>
  </si>
  <si>
    <t>meadow; trees</t>
  </si>
  <si>
    <t>Oliver touches Elio’s shoulder while they play volleyball with friends.</t>
  </si>
  <si>
    <t>Elio feels surprise, curiosity, bodily awareness, and ambiguous attraction.</t>
  </si>
  <si>
    <t>The scene introduces attraction through casual touch in a youthful social setting; desire appears as sudden bodily alertness.</t>
  </si>
  <si>
    <t>clip15</t>
  </si>
  <si>
    <t>/Users/jemincejem/Downloads/LAB/call_me_by_your_name/clips/clip15/screenshots</t>
  </si>
  <si>
    <t>Elio observing Oliver; Oliver dancing with girls/crowd</t>
  </si>
  <si>
    <t>public dance space; meadow; trees; stone dance floor</t>
  </si>
  <si>
    <t>Elio watches Oliver dancing and kissing a girl at a public dancing party.</t>
  </si>
  <si>
    <t>Elio feels desire and jealousy but conceals his emotions.</t>
  </si>
  <si>
    <t>Public festivity becomes private longing; the scene combines sensual liveliness with jealousy, distance, and emotional concealment.</t>
  </si>
  <si>
    <t>clip16</t>
  </si>
  <si>
    <t>/Users/jemincejem/Downloads/LAB/call_me_by_your_name/clips/clip16/screenshots</t>
  </si>
  <si>
    <t>historical city center; stone walls; public square</t>
  </si>
  <si>
    <t>Elio and Oliver walk through the historical city center and indirectly probe each other’s feelings.</t>
  </si>
  <si>
    <t>Elio and Oliver feel desire, anxiety, and emotional suppression in a public setting.</t>
  </si>
  <si>
    <t>The scene stages desire as indirect negotiation; passion is present but controlled by public visibility and fear of disclosure.</t>
  </si>
  <si>
    <t>clip17</t>
  </si>
  <si>
    <t>/Users/jemincejem/Downloads/LAB/call_me_by_your_name/clips/clip17/screenshots</t>
  </si>
  <si>
    <t>meadow; secret pond; trees</t>
  </si>
  <si>
    <t>Elio and Oliver kiss for the first time after Elio introduces Oliver to his secret pond.</t>
  </si>
  <si>
    <t>Elio and Oliver feel desire, intimacy, emotional rupture, and cautious expression.</t>
  </si>
  <si>
    <t>The scene transforms long-suppressed attraction into physical intimacy, but the emotional release remains fragile and uncertain.</t>
  </si>
  <si>
    <t>clip18</t>
  </si>
  <si>
    <t>/Users/jemincejem/Downloads/LAB/call_me_by_your_name/clips/clip18/screenshots</t>
  </si>
  <si>
    <t>Oliver; Mr. Perlman; Elio as parallel absent/present reference</t>
  </si>
  <si>
    <t>room; sculpture images</t>
  </si>
  <si>
    <t>Oliver looks at sensual sculpture images with Mr. Perlman while Elio discovers Oliver’s note to meet at midnight.</t>
  </si>
  <si>
    <t>Oliver shows awe and sensual admiration; Elio experiences desire, anticipation, and emotional concealment.</t>
  </si>
  <si>
    <t>The scene links visual sensuality with hidden anticipation; desire circulates indirectly through images, notes, and silence.</t>
  </si>
  <si>
    <t>clip19</t>
  </si>
  <si>
    <t>/Users/jemincejem/Downloads/LAB/call_me_by_your_name/clips/clip19/screenshots</t>
  </si>
  <si>
    <t>room</t>
  </si>
  <si>
    <t>Elio and Oliver have sex for the first time.</t>
  </si>
  <si>
    <t>Elio and Oliver feel passion, desire, intimacy, secrecy, excitement, and affection.</t>
  </si>
  <si>
    <t>The scene realizes concealed desire as intimate physical contact while retaining a strong sense of secrecy.</t>
  </si>
  <si>
    <t>clip20</t>
  </si>
  <si>
    <t>/Users/jemincejem/Downloads/LAB/call_me_by_your_name/clips/clip20/screenshots</t>
  </si>
  <si>
    <t>Elio; Oliver as voice on phone</t>
  </si>
  <si>
    <t>Elio receives Oliver’s phone call about his coming wedding to a woman; Elio cries quietly.</t>
  </si>
  <si>
    <t>Elio feels sadness, loss, heartbreak, and restrained grief.</t>
  </si>
  <si>
    <t>The scene transforms intimacy into irreversible loss; Elio’s grief is quiet, private, and emotionally contained.</t>
  </si>
  <si>
    <t>clip21</t>
  </si>
  <si>
    <t>/Users/jemincejem/Downloads/LAB/call_me_by_your_name/clips/clip21/screenshots</t>
  </si>
  <si>
    <t>room; meadow; public lake</t>
  </si>
  <si>
    <t>Elio waits for Oliver’s response after their first kiss; Elio seeks temporary emotional comfort from Marzia and has sex with her in a room then near the lake.</t>
  </si>
  <si>
    <t>Elio feels desire, uncertainty, anxiety, and misdirected affection; he turns to Marzia for temporary consolation.</t>
  </si>
  <si>
    <t>The scene displaces Elio’s uncertainty about Oliver into heterosexual intimacy with Marzia; intimacy becomes temporary consolation rather than resolution.</t>
  </si>
  <si>
    <t>clip22</t>
  </si>
  <si>
    <t>/Users/jemincejem/Downloads/LAB/call_me_by_your_name/clips/clip22/screenshots</t>
  </si>
  <si>
    <t>small attic</t>
  </si>
  <si>
    <t>Elio waits for Oliver’s response after their first kiss; Elio seeks temporary emotional comfort from Marzia and has sex with her in the attic.</t>
  </si>
  <si>
    <t>Elio feels desire, uncertainty, anxiety, and misdirected affection; Marzia’s affection is not fully reciprocated.</t>
  </si>
  <si>
    <t>The scene turns heterosexual intimacy into a displaced response to uncertainty about Oliver; pleasure remains mixed with anxiety and concealment.</t>
  </si>
  <si>
    <t>clip23</t>
  </si>
  <si>
    <t>/Users/jemincejem/Downloads/LAB/call_me_by_your_name/clips/clip23/screenshots</t>
  </si>
  <si>
    <t>Elio waits for Oliver’s response after their first kiss; Elio and Marzia walk through the ancient city center while Marzia reveals affection and probes Elio’s feelings.</t>
  </si>
  <si>
    <t>Elio feels anxious and emotionally concealed; Marzia expresses affection while sensing uncertainty.</t>
  </si>
  <si>
    <t>The scene stages misaligned desire in public space; Marzia seeks emotional clarity while Elio remains inwardly oriented toward Oliver.</t>
  </si>
  <si>
    <t>clip24</t>
  </si>
  <si>
    <t>/Users/jemincejem/Downloads/LAB/call_me_by_your_name/clips/clip24/screenshots</t>
  </si>
  <si>
    <t>historical city center; public square</t>
  </si>
  <si>
    <t>After visiting the waterfall and before Oliver’s departure, Oliver and Elio visit an ancient city for fun.</t>
  </si>
  <si>
    <t>Elio and Oliver feel joy, desire, sadness, anxiety, and fear of impending separation.</t>
  </si>
  <si>
    <t>The scene combines public pleasure with private melancholy; intimacy persists but is shadowed by departure and social restraint.</t>
  </si>
  <si>
    <t>Instruction for AI/Codex</t>
  </si>
  <si>
    <t>Read screenshot_folder_path_local for each clip. For each folder, list all PNG files, parse the numeric timestamp from the filename pattern '_frame_&lt;seconds&gt;.png', sort by timestamp_sec ascending, and analyze screenshots in chronological order. Do not rely on alphabetical filename order.</t>
  </si>
  <si>
    <t>natural_elements_detected_ai</t>
  </si>
  <si>
    <t>non_nature_elements_detected_ai</t>
  </si>
  <si>
    <t>social_background_detected_ai</t>
  </si>
  <si>
    <t>social_pressure_or_environment_ai</t>
  </si>
  <si>
    <t>spatial_openness_ai</t>
  </si>
  <si>
    <t>publicness_ai</t>
  </si>
  <si>
    <t>neglected_background_details_ai</t>
  </si>
  <si>
    <t>ai_detection_confidence</t>
  </si>
  <si>
    <t>detection_evidence_frames</t>
  </si>
  <si>
    <t>detection_notes_ai</t>
  </si>
  <si>
    <t>sunlight; shade; trees and vegetation visible through windows</t>
  </si>
  <si>
    <t>bed; windows; stone building exterior; parked car; staircase; bookshelves; desk; domestic furniture</t>
  </si>
  <si>
    <t>family members/background figures in domestic rooms and courtyard</t>
  </si>
  <si>
    <t>semi-private domestic space with visible family/background activity</t>
  </si>
  <si>
    <t>semi-open</t>
  </si>
  <si>
    <t>semi-private</t>
  </si>
  <si>
    <t>window views; shutters; patterned wall covering; desk objects; staircase railings; parked car below window</t>
  </si>
  <si>
    <t>high</t>
  </si>
  <si>
    <t>clip13_frame_6.2.png; clip13_frame_24.7.png; clip13_frame_58.6.png; clip13_frame_80.2.png</t>
  </si>
  <si>
    <t>Frames alternate between interior rooms, window views, and a small exterior domestic area.</t>
  </si>
  <si>
    <t>grass; trees; vegetation; sunlight; sky</t>
  </si>
  <si>
    <t>building facade; windows; chairs; volleyball net; lawn objects</t>
  </si>
  <si>
    <t>group of people/background figures on lawn</t>
  </si>
  <si>
    <t>semi-private domestic garden with visible group activity</t>
  </si>
  <si>
    <t>open</t>
  </si>
  <si>
    <t>public</t>
  </si>
  <si>
    <t>volleyball net; lawn chairs; building windows; shaded tree line; scattered objects on grass</t>
  </si>
  <si>
    <t>clip14_frame_3.1.png; clip14_frame_30.9.png; clip14_frame_55.6.png</t>
  </si>
  <si>
    <t>Most frames show an outdoor lawn bordered by trees and a building.</t>
  </si>
  <si>
    <t>vegetation; sunlight; shade</t>
  </si>
  <si>
    <t>pool water; stone pool edge; stone wall; towels</t>
  </si>
  <si>
    <t>no visible crowd; only foreground bathers</t>
  </si>
  <si>
    <t>semi-private poolside space</t>
  </si>
  <si>
    <t>stone edging; wall relief; towels on pool edge; dense greenery behind pool</t>
  </si>
  <si>
    <t>clip1_frame_0.0.png; clip1_frame_25.5.png; clip1_frame_51.1.png</t>
  </si>
  <si>
    <t>All visible frames stay around a small pool area with stone and greenery.</t>
  </si>
  <si>
    <t>trees; vegetation; sunlight; shade</t>
  </si>
  <si>
    <t>pool water; stone pool edge; white metal chair; lounge chair</t>
  </si>
  <si>
    <t>no visible crowd</t>
  </si>
  <si>
    <t>semi-private pool garden</t>
  </si>
  <si>
    <t>white metal chair; striped lounge fabric; stone coping; dense shaded planting</t>
  </si>
  <si>
    <t>clip2_frame_0.0.png; clip2_frame_22.8.png; clip2_frame_76.0.png</t>
  </si>
  <si>
    <t>Frames remain in a poolside garden with chairs, stone edges, and heavy vegetation.</t>
  </si>
  <si>
    <t>hedges; trees; night sky</t>
  </si>
  <si>
    <t>tables; chairs; string lights; dance floor; DJ booth; wall; colored stage lighting</t>
  </si>
  <si>
    <t>dancing crowd; seated background figures; party guests</t>
  </si>
  <si>
    <t>crowd creates visible publicness</t>
  </si>
  <si>
    <t>string lights; white cafe chairs; small tables; DJ booth; hedge boundary; colored dance lighting</t>
  </si>
  <si>
    <t>clip15_frame_0.0.png; clip15_frame_53.8.png; clip15_frame_102.2.png; clip15_frame_150.7.png</t>
  </si>
  <si>
    <t>The sequence shows an outdoor night party with seated and dancing groups.</t>
  </si>
  <si>
    <t>trees; shade; night darkness</t>
  </si>
  <si>
    <t>none prominent</t>
  </si>
  <si>
    <t>dim public outdoor lake area</t>
  </si>
  <si>
    <t>dark tree line; mostly unlit background</t>
  </si>
  <si>
    <t>low</t>
  </si>
  <si>
    <t>clip3_frame_6.1.png; clip3_frame_42.7.png; clip3_frame_54.8.png</t>
  </si>
  <si>
    <t>Low light limits background detail; visible setting appears to be outdoors near water.</t>
  </si>
  <si>
    <t>sea; sky; mountains; rocky shore; vegetation; sunlight</t>
  </si>
  <si>
    <t>tripod; camera; bags/clothing; boats; buoys; stone statue</t>
  </si>
  <si>
    <t>small group at shoreline; distant bathers or boats visible</t>
  </si>
  <si>
    <t>public shoreline visible</t>
  </si>
  <si>
    <t>tripod; shoreline rocks; buoys; boats in distance; headland; objects placed on rocks</t>
  </si>
  <si>
    <t>clip4_frame_0.0.png; clip4_frame_41.7.png; clip4_frame_49.3.png; clip4_frame_72.1.png</t>
  </si>
  <si>
    <t>The frames show an exposed lakeside or seaside area with distant landscape and equipment.</t>
  </si>
  <si>
    <t>sea; reeds; sky; clouds; distant tree line</t>
  </si>
  <si>
    <t>no prominent social background detected</t>
  </si>
  <si>
    <t>reeds along waterline; distant shore; overcast sky</t>
  </si>
  <si>
    <t>medium</t>
  </si>
  <si>
    <t>clip5_frame_0.0.png; clip5_frame_9.0.png</t>
  </si>
  <si>
    <t>Only three wide outdoor frames are present.</t>
  </si>
  <si>
    <t>trees; grass; vegetation; sunlight; shade</t>
  </si>
  <si>
    <t>pool water; stone pool edge; lounge chair; white metal chair</t>
  </si>
  <si>
    <t>striped lounge chair; stone border; white chair; shaded tree background</t>
  </si>
  <si>
    <t>clip6_frame_5.6.png; clip6_frame_33.6.png; clip6_frame_72.7.png</t>
  </si>
  <si>
    <t>Frames show a garden pool edge with chairs and dense vegetation.</t>
  </si>
  <si>
    <t>sky; trees; hedges; small shrubs</t>
  </si>
  <si>
    <t>town square; buildings; church or civic facade; cars; bicycles; railings; road markings; bus; signs; cafe chairs</t>
  </si>
  <si>
    <t>passersby; cyclists; background town figures</t>
  </si>
  <si>
    <t>public social field visible</t>
  </si>
  <si>
    <t>parking signs; bicycle racks; iron railings; bus; cafe awning; statue and flag; road markings</t>
  </si>
  <si>
    <t>clip16_frame_0.0.png; clip16_frame_67.0.png; clip16_frame_164.4.png; clip16_frame_225.3.png</t>
  </si>
  <si>
    <t>The sequence is set across a town square with traffic, pedestrians, and parked bicycles.</t>
  </si>
  <si>
    <t>pond; trees; grass; shore; sunlight; shade; sky</t>
  </si>
  <si>
    <t>low fence or rail; path edge</t>
  </si>
  <si>
    <t>private</t>
  </si>
  <si>
    <t>muddy pond shore; low fence; tree trunks; shallow waterline</t>
  </si>
  <si>
    <t>clip7_frame_0.0.png; clip7_frame_25.2.png; clip7_frame_47.5.png; clip7_frame_72.7.png</t>
  </si>
  <si>
    <t>Frames remain near a river bordered by trees and grass.</t>
  </si>
  <si>
    <t>grass; meadow; fields; trees; sunlight; sky; shade</t>
  </si>
  <si>
    <t>distant low structure or wall</t>
  </si>
  <si>
    <t>tall grass; field boundary; shaded tree base; distant low wall or structure</t>
  </si>
  <si>
    <t>clip17_frame_7.5.png; clip17_frame_67.2.png; clip17_frame_104.5.png; clip17_frame_134.4.png</t>
  </si>
  <si>
    <t>The clip is outdoors in tall grass and field-edge shade.</t>
  </si>
  <si>
    <t>lake; trees; vegetation; shade</t>
  </si>
  <si>
    <t>public bathers or swimmers in background</t>
  </si>
  <si>
    <t>tree reflections; swimmers spread across water; dark wooded bank</t>
  </si>
  <si>
    <t>clip8_frame_5.0.png; clip8_frame_9.9.png</t>
  </si>
  <si>
    <t>Two frames show multiple swimmers in a natural water setting.</t>
  </si>
  <si>
    <t>night sky; limited vegetation</t>
  </si>
  <si>
    <t>columns; arcade; brick walls; stone paving; buildings; cars; street lighting; bollards; square</t>
  </si>
  <si>
    <t>passersby and background figures in town space</t>
  </si>
  <si>
    <t>covered arcade; brick wall texture; stone paving; parked cars; bollards; building facades</t>
  </si>
  <si>
    <t>clip23_frame_0.0.png; clip23_frame_31.9.png; clip23_frame_44.7.png; clip23_frame_70.2.png</t>
  </si>
  <si>
    <t>The clip uses exterior town architecture and a covered passage at night.</t>
  </si>
  <si>
    <t>dense vegetation; grass; night darkness</t>
  </si>
  <si>
    <t>plain wall; small sign or marker</t>
  </si>
  <si>
    <t>private; public</t>
  </si>
  <si>
    <t>plain wall surface; shrub texture; small marker in greenery; dark unlit edge</t>
  </si>
  <si>
    <t>clip21_frame_0.0.png; clip21_frame_32.3.png; clip21_frame_71.1.png</t>
  </si>
  <si>
    <t>Most background detail is dark; visible setting is a wall and vegetation edge.</t>
  </si>
  <si>
    <t>trees and vegetation visible through window; daylight</t>
  </si>
  <si>
    <t>bookshelves; globe; projector screen; desk; papers; bed; lamp; chair; window; framed images</t>
  </si>
  <si>
    <t>family member or instructor figure visible; no crowd</t>
  </si>
  <si>
    <t>private or semi-private interior study space</t>
  </si>
  <si>
    <t>enclosed</t>
  </si>
  <si>
    <t>globe; projected slide; desk papers; wrought headboard; lamp; bookshelves; patterned wall</t>
  </si>
  <si>
    <t>clip18_frame_0.0.png; clip18_frame_23.8.png; clip18_frame_35.7.png; clip18_frame_55.5.png</t>
  </si>
  <si>
    <t>Frames alternate between a study/library interior and a bedroom area.</t>
  </si>
  <si>
    <t>pool water; stone wall; stone pool edge</t>
  </si>
  <si>
    <t>carved stone wall detail; dense greenery; narrow pool edge</t>
  </si>
  <si>
    <t>clip9_frame_0.0.png; clip9_frame_7.9.png; clip9_frame_15.9.png</t>
  </si>
  <si>
    <t>The short sequence stays in the same pool and stone-wall setting.</t>
  </si>
  <si>
    <t>limited daylight through small window</t>
  </si>
  <si>
    <t>stone walls; small window; bed; books; furniture; ladder or stored objects; door; shelves</t>
  </si>
  <si>
    <t>private enclosed interior</t>
  </si>
  <si>
    <t>small window; stacked books; stored frames or boards; rough wall texture; low bed</t>
  </si>
  <si>
    <t>clip22_frame_21.5.png; clip22_frame_57.4.png; clip22_frame_82.5.png; clip22_frame_129.2.png</t>
  </si>
  <si>
    <t>The dim interior makes some background objects difficult to distinguish.</t>
  </si>
  <si>
    <t>trees; dense vegetation; night darkness</t>
  </si>
  <si>
    <t>bed; window; interior walls; door or shutters</t>
  </si>
  <si>
    <t>private interior with adjacent wooded exterior</t>
  </si>
  <si>
    <t>dark tree trunks; window bars or shutters; bed edge; interior doorway; blue fabric on bed</t>
  </si>
  <si>
    <t>clip19_frame_0.0.png; clip19_frame_79.4.png; clip19_frame_193.6.png; clip19_frame_317.7.png</t>
  </si>
  <si>
    <t>Several frames are very dark; visible detail includes wooded exterior and dim bedroom interior.</t>
  </si>
  <si>
    <t>lake; trees; vegetation; sky; shade</t>
  </si>
  <si>
    <t>bed; window; road; building edge; bicycle or road equipment</t>
  </si>
  <si>
    <t>cyclists or passersby visible in road frames; no crowd</t>
  </si>
  <si>
    <t>mixed private interior and outdoor public road/lake views</t>
  </si>
  <si>
    <t>lake reflections; road surface; building corner; bedroom wall boards; path through trees</t>
  </si>
  <si>
    <t>clip10_frame_0.0.png; clip10_frame_82.6.png; clip10_frame_96.4.png; clip10_frame_110.2.png</t>
  </si>
  <si>
    <t>The clip includes bedroom frames, road/cycling frames, and lake/tree views.</t>
  </si>
  <si>
    <t>waterfall; mountains; rocks; grass; mist; vegetation</t>
  </si>
  <si>
    <t>waterfall mist; rocky slope; green hillside; high-volume water flow</t>
  </si>
  <si>
    <t>clip11_frame_0.0.png; clip11_frame_15.9.png; clip11_frame_39.8.png</t>
  </si>
  <si>
    <t>The frames show a large waterfall and rocky mountain landscape.</t>
  </si>
  <si>
    <t>night sky; limited plantings</t>
  </si>
  <si>
    <t>interior room; balcony; stone courtyard; cars; columns; church or civic facade; street lighting; bollards; building walls</t>
  </si>
  <si>
    <t>background figures; people gathered near cars; passersby</t>
  </si>
  <si>
    <t>red car; stone columns; church facade; balcony railing; cobblestones; bollards; dark interior doorway</t>
  </si>
  <si>
    <t>clip24_frame_13.4.png; clip24_frame_84.8.png; clip24_frame_120.5.png; clip24_frame_160.7.png</t>
  </si>
  <si>
    <t>The sequence moves from a dim interior/balcony area to a public night courtyard.</t>
  </si>
  <si>
    <t>snow; pond; leafless trees; winter sky</t>
  </si>
  <si>
    <t>low fence or wooden edge</t>
  </si>
  <si>
    <t>snow on ground; bare tree trunks; still water surface; low edge or fence</t>
  </si>
  <si>
    <t>clip12_frame_0.0.png; clip12_frame_2.5.png</t>
  </si>
  <si>
    <t>Only two exterior winter landscape frames are present.</t>
  </si>
  <si>
    <t>flowers or dried plant arrangement; firelight</t>
  </si>
  <si>
    <t>table; chair; map or wall art; lamp; bookshelves; fireplace; window; glasses; candles; furniture</t>
  </si>
  <si>
    <t>family members/background figures visible; no crowd</t>
  </si>
  <si>
    <t>private domestic interior</t>
  </si>
  <si>
    <t>table lamp; map-like wall art; fireplace; candles; wine glasses; bookshelf; floral arrangement</t>
  </si>
  <si>
    <t>clip20_frame_0.0.png; clip20_frame_69.2.png; clip20_frame_148.3.png; clip20_frame_187.8.png</t>
  </si>
  <si>
    <t>Frames show a domestic interior with furniture, fireplace, and table settings.</t>
  </si>
  <si>
    <t>L_mean</t>
  </si>
  <si>
    <t>chroma_mean</t>
  </si>
  <si>
    <t>chroma_std</t>
  </si>
  <si>
    <t>chroma_p95</t>
  </si>
  <si>
    <t>high_chroma_pct</t>
  </si>
  <si>
    <t>contrast</t>
  </si>
  <si>
    <t>L_dev_stage</t>
  </si>
  <si>
    <t>chroma_dev_stage</t>
  </si>
  <si>
    <t>contrast_dev_stage</t>
  </si>
  <si>
    <t>L_dev_film</t>
  </si>
  <si>
    <t>chroma_dev_film</t>
  </si>
  <si>
    <t>contrast_dev_film</t>
  </si>
  <si>
    <t>lab_import_status</t>
  </si>
  <si>
    <t>lab_source_file</t>
  </si>
  <si>
    <t>imported</t>
  </si>
  <si>
    <t>visual_modulation_summary_ai</t>
  </si>
  <si>
    <t>environmental_affective_function_ai</t>
  </si>
  <si>
    <t>character_environment_relation_ai</t>
  </si>
  <si>
    <t>environment_character_alignment_ai</t>
  </si>
  <si>
    <t>possible_environmental_meaning_ai</t>
  </si>
  <si>
    <t>final_environmental_communication_finding</t>
  </si>
  <si>
    <t>review_status</t>
  </si>
  <si>
    <t>use_as_key_example</t>
  </si>
  <si>
    <t>analyst_notes</t>
  </si>
  <si>
    <t>n_clips</t>
  </si>
  <si>
    <t>interpretive_summary</t>
  </si>
  <si>
    <t>Water-dominant vs non-water/comparison clips</t>
  </si>
  <si>
    <t>group</t>
  </si>
  <si>
    <t>finding_id</t>
  </si>
  <si>
    <t>finding</t>
  </si>
  <si>
    <t>evidence_from_workbook</t>
  </si>
  <si>
    <t>interpretive_claim</t>
  </si>
  <si>
    <t>article_use</t>
  </si>
  <si>
    <t>key_clips</t>
  </si>
  <si>
    <t>Category</t>
  </si>
  <si>
    <t>Allowed / Suggested Values</t>
  </si>
  <si>
    <t>Definition / Use</t>
  </si>
  <si>
    <t>Setup; Act I; Act II; Act III; Prologue; Epilogue; Other</t>
  </si>
  <si>
    <t>Narrative segment. Use your own segmentation consistently.</t>
  </si>
  <si>
    <t>enclosed; semi-open; open; ambiguous</t>
  </si>
  <si>
    <t>Physical/spatial openness detected from frames.</t>
  </si>
  <si>
    <t>private; semi-private; public; ambiguous</t>
  </si>
  <si>
    <t>Whether the space appears socially private or public.</t>
  </si>
  <si>
    <t>high; medium; low</t>
  </si>
  <si>
    <t>AI confidence in background/environment/social detection.</t>
  </si>
  <si>
    <t>needs_human_review</t>
  </si>
  <si>
    <t>yes; no</t>
  </si>
  <si>
    <t>Flag when AI detection or interpretation should be manually checked.</t>
  </si>
  <si>
    <t>facilitator; shelter; exposure_field; amplifier; threshold; substitution; memory_carrier; rupture_marker; counterpoint; atmospheric_ground</t>
  </si>
  <si>
    <t>Provisional AI-proposed function. Final interpretation must be human validated.</t>
  </si>
  <si>
    <t>aligned; contrasting; displacing; ambiguous</t>
  </si>
  <si>
    <t>Whether environmental field supports, contrasts with, displaces, or ambiguously relates to character affect.</t>
  </si>
  <si>
    <t>unreviewed; needs review; validated; revised; exclude</t>
  </si>
  <si>
    <t>Human validation status for analysis output.</t>
  </si>
  <si>
    <t>yes; no; maybe</t>
  </si>
  <si>
    <t>Whether the clip is suitable for detailed written analysis.</t>
  </si>
  <si>
    <t>ready; missing; incomplete; needs review</t>
  </si>
  <si>
    <t>Whether the screenshot folder exists and is usable for AI/Codex detection.</t>
  </si>
  <si>
    <t>day; night; dawn; evening; winter day; ambiguous</t>
  </si>
  <si>
    <t>Human-coded approximate time of day or seasonal light condition.</t>
  </si>
  <si>
    <t>human input principle</t>
  </si>
  <si>
    <t>action-only; concrete environment; character-specific emotion</t>
  </si>
  <si>
    <t>Keep Sheet 1 as input annotation. Avoid final environmental interpretation here.</t>
  </si>
  <si>
    <t>screenshot path rule</t>
  </si>
  <si>
    <t>complete local path; optional project-relative path</t>
  </si>
  <si>
    <t>Use the complete local folder path so Codex/Python can access the screenshot files.</t>
  </si>
  <si>
    <t>Section</t>
  </si>
  <si>
    <t>Instruction</t>
  </si>
  <si>
    <t>Purpose</t>
  </si>
  <si>
    <t>This workbook separates human interpretive input, AI background detection, computational LAB metrics, and final analytical output for scalable environmental-affective film analysis.</t>
  </si>
  <si>
    <t>Step 1: Human annotation</t>
  </si>
  <si>
    <t>Fill only Human_Clip_Annotation. Keep entries concise. Prioritize focal characters, focal environmental element, key action, character emotion, and scene-level affective summary.</t>
  </si>
  <si>
    <t>Step 2: AI detection</t>
  </si>
  <si>
    <t>AI/Codex analyzes screenshots or frame folders to fill AI_Background_Detection with additional natural, non-nature, and social background elements that humans may overlook.</t>
  </si>
  <si>
    <t>Step 3: LAB import</t>
  </si>
  <si>
    <t>Import LAB CSV outputs into LAB_Metrics. These values should not be manually typed if CSV files already exist. Link rows by film_id + clip_id.</t>
  </si>
  <si>
    <t>Step 4: Analysis</t>
  </si>
  <si>
    <t>After combining human input, AI detection, and LAB metrics, AI can propose visual modulation and environmental-affective function in Analysis_Output.</t>
  </si>
  <si>
    <t>Step 5: Human validation</t>
  </si>
  <si>
    <t>Final environmental communication findings should be validated by the human researcher, especially for key examples, low-confidence rows, and theoretically important scenes.</t>
  </si>
  <si>
    <t>Scalability principle</t>
  </si>
  <si>
    <t>Human codes the focal narrative-affective core. AI detects peripheral/background environmental fields and proposes first-round coding. Computation handles visual metrics. Human controls final interpretation.</t>
  </si>
  <si>
    <t>Screenshot ordering</t>
  </si>
  <si>
    <t>For each clip, inspect screenshots by numeric timestamp in filename. Parse the number after '_frame_' and before '.png', then sort ascending before detection or interpretation.</t>
  </si>
  <si>
    <t>Sheet 1 rule</t>
  </si>
  <si>
    <t>Human_Clip_Annotation should contain human input only: focal characters, focal environmental element, focal action, character emotion, and affective scene summary. Save final environmental communication findings for Analysis_Output.</t>
  </si>
  <si>
    <t>field</t>
  </si>
  <si>
    <t>value</t>
  </si>
  <si>
    <t>processing date/time</t>
  </si>
  <si>
    <t>2026-06-25T15:30:04</t>
  </si>
  <si>
    <t>workbook path</t>
  </si>
  <si>
    <t>LAB parent folder</t>
  </si>
  <si>
    <t>included LAB subfolders</t>
  </si>
  <si>
    <t>visual_trend_setup; visual_trend_act1; visual_trend_act2; visual_trend_act3</t>
  </si>
  <si>
    <t>clips processed</t>
  </si>
  <si>
    <t>screenshot folders found</t>
  </si>
  <si>
    <t>screenshot folders missing</t>
  </si>
  <si>
    <t>screenshots processed</t>
  </si>
  <si>
    <t>LAB rows imported</t>
  </si>
  <si>
    <t>unmatched LAB rows</t>
  </si>
  <si>
    <t>timestamp parsing errors</t>
  </si>
  <si>
    <t>inferred LAB column mappings</t>
  </si>
  <si>
    <t>L_mean &lt;- average_L_across_images; chroma_mean &lt;- average_chroma_across_images; chroma_std &lt;- average_chroma_std_across_images; chroma_p95 &lt;- average_chroma_p95_across_images; high_chroma_pct &lt;- average_high_chroma_pixel_pct_across_images; contrast &lt;- average_contrast_across_images</t>
  </si>
  <si>
    <t>rows requiring human review</t>
  </si>
  <si>
    <t>clip3: low AI detection confidence; clip19: low AI detection confidence; Unmatched LAB aggregate rows: all clips; all clips; all clips; all clips</t>
  </si>
  <si>
    <t>Metric extrema and interpretive anchors</t>
  </si>
  <si>
    <t>metric</t>
  </si>
  <si>
    <t>rank_type</t>
  </si>
  <si>
    <t>human_environment</t>
  </si>
  <si>
    <t>human_emotion_summary</t>
  </si>
  <si>
    <t>highest</t>
  </si>
  <si>
    <t>open sea; archaeological site</t>
  </si>
  <si>
    <t>Elio and Oliver feel joy, excitement, emotional openness, and heightened tend...</t>
  </si>
  <si>
    <t>lowest</t>
  </si>
  <si>
    <t>Elio feels jealous of Oliver dancing and kissing a girl; Elio conceals his di...</t>
  </si>
  <si>
    <t>Elio feels desire, uncertainty, anxiety, and misdirected affection; he turns ...</t>
  </si>
  <si>
    <t>Elio and Oliver feel passion, desire, intimacy, secrecy, excitement, and affe...</t>
  </si>
  <si>
    <t>Elio and Oliver feel desire, intimacy, emotional rupture, and cautious expres...</t>
  </si>
  <si>
    <t>Elio feels curiosity, attraction, emotional uncertainty, and restrained tende...</t>
  </si>
  <si>
    <t>Elio feels desire, uncertainty, anxiety, and misdirected affection; Marzia’s ...</t>
  </si>
  <si>
    <t>open sea</t>
  </si>
  <si>
    <t>Elio and Oliver feel joy and openness, but their affection remains partly con...</t>
  </si>
  <si>
    <t>Both characters feel desire, fear of rejection and social scrutiny, emotional...</t>
  </si>
  <si>
    <t>Elio feels excitement, intimacy, and emotional openness mixed with fear of de...</t>
  </si>
  <si>
    <t>Low-light, low-chroma opening (L*=22.7; chroma=7.3; high-chroma=1.3%) places Oliver’s arrival in a shaded semi-open villa/courtyard field rather than in immediate sensual expansion.</t>
  </si>
  <si>
    <t>atmospheric_ground</t>
  </si>
  <si>
    <t>The semi-private domestic setting keeps Elio primarily in an observing position; windows, courtyard circulation, family presence, and vegetation frame curiosity before attraction is fully recognized.</t>
  </si>
  <si>
    <t>aligned</t>
  </si>
  <si>
    <t>The environment acts as a social-spatial threshold: it makes the newcomer perceptible within an already inhabited household world while keeping affect tentative.</t>
  </si>
  <si>
    <t>Environmental communication begins here through atmospheric preparation. The villa, courtyard, trees, and partial enclosure organize anticipatory attention before desire becomes narratively legible.</t>
  </si>
  <si>
    <t>revised</t>
  </si>
  <si>
    <t>no</t>
  </si>
  <si>
    <t>Corrected coding: semi-open, semi-private domestic environment. Useful as a low-chroma baseline for the later meadow and pool scenes.</t>
  </si>
  <si>
    <t>The open public meadow/lawn is the film’s chromatic maximum (chroma=26.8; p95=49.8; high-chroma=45.2%) with relatively high lightness and contrast.</t>
  </si>
  <si>
    <t>amplifier</t>
  </si>
  <si>
    <t>Oliver’s casual touch occurs amid friends and visible group activity, yet the open green field intensifies Elio’s bodily awareness rather than suppressing it.</t>
  </si>
  <si>
    <t>Public greenery becomes an early carrier of sensual activation while attraction is still ambiguous and has not yet become a consciously regulated social problem.</t>
  </si>
  <si>
    <t>This clip revises any simple public/private opposition: publicness alone does not suppress desire. At the Setup stage, an open social field can amplify bodily attraction precisely because its meaning remains uncertain.</t>
  </si>
  <si>
    <t>yes</t>
  </si>
  <si>
    <t>Corrected coding identifies the meadow as open and public. Highest chroma, p95 chroma, and high-chroma share in the workbook.</t>
  </si>
  <si>
    <t>The semi-private pool is bright and strongly chromatic (L*=40.8; chroma=21.4; high-chroma=20.7%), producing one of the most sensually expansive early scenes.</t>
  </si>
  <si>
    <t>facilitator</t>
  </si>
  <si>
    <t>Water, exposed bodies, stone edging, and surrounding vegetation create a semi-private space in which Elio and Oliver can test bodily proximity through swimming and play.</t>
  </si>
  <si>
    <t>The small pool acts materially and affectively as an intimacy facilitator: it permits bodily contact while remaining protected from a larger public social field.</t>
  </si>
  <si>
    <t>The scene shows the environment acting on the relationship through affordance and mood: the pool does not merely symbolize desire; it enables and intensifies tentative embodied closeness.</t>
  </si>
  <si>
    <t>Semi-open, semi-private poolside environment; strong comparison with clip9, where the same setting is redirected toward Marzia.</t>
  </si>
  <si>
    <t>The second pool sequence remains chromatically strong (chroma=19.6; high-chroma=18.0%) and reaches the workbook’s highest contrast (76.5), combining visual vitality with pronounced tonal differentiation.</t>
  </si>
  <si>
    <t>threshold</t>
  </si>
  <si>
    <t>The semi-private pool garden supports Oliver’s emotional vulnerability and Elio’s restrained tenderness, while uncertainty keeps disclosure incomplete.</t>
  </si>
  <si>
    <t>ambiguous</t>
  </si>
  <si>
    <t>The pool environment becomes a threshold between flirtation and emotional disclosure: intimacy is facilitated, but contrast and hesitation preserve instability.</t>
  </si>
  <si>
    <t>Environmental intimacy is not equivalent to emotional certainty. The same semi-private naturalized setting that enables closeness can also hold vulnerability and restraint in tension.</t>
  </si>
  <si>
    <t>maybe</t>
  </si>
  <si>
    <t>Corrected coding: semi-open, semi-private. Highest contrast of all clips, but contrast is not treated as a stable emotional code.</t>
  </si>
  <si>
    <t>The open public dance scene is dark in mean lightness (L*=22.9) but retains relatively high chroma (15.7) and vivid chromatic accents from party lighting.</t>
  </si>
  <si>
    <t>exposure_field</t>
  </si>
  <si>
    <t>Crowd activity, dancing, and colored lighting make sensuality publicly visible around Oliver while Elio must conceal jealousy and desire.</t>
  </si>
  <si>
    <t>contrasting</t>
  </si>
  <si>
    <t>The social environment externalizes erotic vitality but positions Elio as a watcher, turning collective festivity into an exposure field for privately unexpressed feeling.</t>
  </si>
  <si>
    <t>Public environments can intensify affect without permitting its expression: the party’s sensual liveliness heightens Elio’s jealousy precisely because his desire remains socially concealed.</t>
  </si>
  <si>
    <t>Open/public social field. Important counterexample to reading high chroma as uncomplicated positive emotion.</t>
  </si>
  <si>
    <t>The public lake sequence is the darkest and least chromatic clip (L*=4.1; chroma=2.1; high-chroma≈0%; contrast=17.1), producing extreme visual compression.</t>
  </si>
  <si>
    <t>counterpoint</t>
  </si>
  <si>
    <t>Although Elio enters water with Marzia, the open public lake does not resolve his jealousy toward Oliver; the environment accompanies emotional displacement rather than mutual intimacy.</t>
  </si>
  <si>
    <t>displacing</t>
  </si>
  <si>
    <t>Water loses its earlier facilitating function and becomes a dark field through which jealousy and redirected affection are carried.</t>
  </si>
  <si>
    <t>This is decisive negative evidence against a deterministic water=openness equation. The same environmental actor can become affectively depleted when desire is concealed and displaced.</t>
  </si>
  <si>
    <t>Corrected coding: open, public lake. Lowest L*, chroma, and among the lowest contrast values.</t>
  </si>
  <si>
    <t>The open Lake Garda/archaeological scene reaches the workbook’s highest lightness (L*=61.6) while maintaining moderate-high chroma (17.6) and strong contrast (66.2).</t>
  </si>
  <si>
    <t>The exposed lake, sky, mountains, shoreline, and archaeological encounter accompany reconciliation and renewed emotional openness between Elio and Oliver.</t>
  </si>
  <si>
    <t>Landscape scale and brightness enlarge interpersonal repair into a shared outward-facing experience, while the excavated Venus adds a material cue of sensual emergence.</t>
  </si>
  <si>
    <t>Open public nature can support emotional release when social scrutiny is not the dominant affective pressure. Here Lake Garda acts as an expansive environmental actor that amplifies reconciliation and renewed attraction.</t>
  </si>
  <si>
    <t>Use Lake Garda rather than 'sea.' Corrected coding remains open/public; the key point is that publicness is not inherently suppressive.</t>
  </si>
  <si>
    <t>Lake Garda remains spatially open but is markedly less chromatic (chroma=9.6; high-chroma=0%) despite high contrast (69.3) and moderate lightness.</t>
  </si>
  <si>
    <t>Elio and Oliver share joy while swimming with Elio’s father, but the presence of a parent keeps their affection partially concealed within the open public setting.</t>
  </si>
  <si>
    <t>The broad lake permits physical freedom without equivalent emotional disclosure; spatial openness and affective openness diverge.</t>
  </si>
  <si>
    <t>This scene separates material openness from communicative openness. A large natural environment can enable joy and movement while social presence still mutes the visual-affective expression of intimacy.</t>
  </si>
  <si>
    <t>Open/public Lake Garda. Useful paired comparison with clip4: similar setting, different relational/social configuration.</t>
  </si>
  <si>
    <t>The semi-private pool/orchard scene is bright, chromatic, and highly contrastive (L*=46.8; chroma=18.5; high-chroma=15.1%; contrast=76.1).</t>
  </si>
  <si>
    <t>The pool and orchard shelter an indirect conversation about a fictional romance, allowing Elio and Oliver to probe desire while fear of rejection and social scrutiny remains active.</t>
  </si>
  <si>
    <t>Semi-private nature provides enough protection for emotional testing but not enough certainty for direct declaration.</t>
  </si>
  <si>
    <t>The scene demonstrates how environmental actors can condition communicative possibility: the pool/orchard makes probing intimacy possible, while its semi-private status sustains hesitation.</t>
  </si>
  <si>
    <t>Semi-open, semi-private. One of the strongest quantitative examples of sensual vitality coexisting with restraint.</t>
  </si>
  <si>
    <t>The open public historical center is very bright (L*=54.3) and moderately chromatic (16.7), showing that high lightness does not automatically signify emotional freedom.</t>
  </si>
  <si>
    <t>Stone architecture, traffic, passersby, and the public square frame Elio and Oliver’s indirect probing of one another under conditions of social visibility.</t>
  </si>
  <si>
    <t>The built public environment makes the relationship socially legible while encouraging coded, indirect communication.</t>
  </si>
  <si>
    <t>Public built space mediates desire through self-monitoring rather than through simple darkness. The scene is bright, yet emotional expression remains constrained, demonstrating that lightness and social freedom are analytically distinct.</t>
  </si>
  <si>
    <t>Corrected coding: open/public historical city center. Important evidence against treating low lightness as the only marker of social pressure.</t>
  </si>
  <si>
    <t>The private secret pond is bright, highly chromatic, and strongly contrastive (L*=42.4; chroma=17.3; high-chroma=11.9%; contrast=74.5).</t>
  </si>
  <si>
    <t>shelter</t>
  </si>
  <si>
    <t>Elio brings Oliver into a personally meaningful private natural space where play and water contact support disclosure, intimacy, and excitement.</t>
  </si>
  <si>
    <t>Privacy is produced here through natural seclusion rather than enclosure; the pond functions as an affective shelter that protects emerging intimacy.</t>
  </si>
  <si>
    <t>The corrected coding sharpens the distinction between private nature and private interiors: private natural space remains visually expansive and chromatically active, making privacy compatible with openness.</t>
  </si>
  <si>
    <t>Open but private. Strong comparison with enclosed private interiors in clips18, 22, 19, and 20.</t>
  </si>
  <si>
    <t>The private meadow/secret-pond sequence is Act II’s chromatic peak (chroma=19.9; p95=40.0; high-chroma=22.0%) with high lightness and contrast.</t>
  </si>
  <si>
    <t>Open vegetation and the secret pond accompany the first kiss, allowing previously suppressed attraction to become bodily explicit while caution remains.</t>
  </si>
  <si>
    <t>Private nature amplifies desire through openness, greenery, water, and bodily movement, but the emotional rupture of the first kiss prevents the scene from becoming uncomplicated release.</t>
  </si>
  <si>
    <t>This is the strongest Act II evidence that visual chromatic expansion accompanies the transition from concealed desire to embodied intimacy when the characters occupy an open yet private natural field.</t>
  </si>
  <si>
    <t>Corrected coding: open/private, not semi-private. Key evidence for distinguishing privacy from enclosure.</t>
  </si>
  <si>
    <t>The open public lake has reduced lightness (L*=24.2) and almost no high-chroma pixels despite a moderate chroma mean (14.6), creating a muted, socially shared water field.</t>
  </si>
  <si>
    <t>Elio swims alone among public bathers after the first kiss, so bodily openness coexists with loneliness, uncertainty, and waiting for Oliver’s response.</t>
  </si>
  <si>
    <t>The lake becomes socially occupied rather than intimate; public co-presence weakens water’s earlier sheltering function.</t>
  </si>
  <si>
    <t>Environmental meaning depends on social configuration. Open water can intensify vulnerability when it is shared with strangers and detached from reciprocal intimacy.</t>
  </si>
  <si>
    <t>Open/public and crowded. Strong comparison with private pond clips7/17 and semi-private pool clips1/2/6.</t>
  </si>
  <si>
    <t>The public historical-center sequence is low in lightness and chroma (L*=22.3; chroma=6.1; high-chroma≈0%), producing a subdued urban affective field.</t>
  </si>
  <si>
    <t>Arcades, stone paving, buildings, cars, and passersby surround Elio’s anxious concealment while Marzia seeks emotional clarity.</t>
  </si>
  <si>
    <t>Built public space exposes interpersonal misalignment while offering little chromatic sensual expansion.</t>
  </si>
  <si>
    <t>The historical city functions as an environmental actor of social visibility: it does not cause concealment, but it conditions how misaligned desire is negotiated in public.</t>
  </si>
  <si>
    <t>Corrected coding: semi-open/public. Supports the public built-space argument when paired with clips16 and 24.</t>
  </si>
  <si>
    <t>This mixed room–meadow–public-lake sequence is extremely dark and desaturated (L*=5.0; chroma=3.1; high-chroma≈0%) and has the lowest contrast (15.9).</t>
  </si>
  <si>
    <t>substitution</t>
  </si>
  <si>
    <t>Because the sequence moves across private and public settings, the environment should be read as a composite transition while Elio redirects uncertainty about Oliver into intimacy with Marzia.</t>
  </si>
  <si>
    <t>The collapsing visual field accompanies affective displacement rather than stable environmental intimacy; no single setting should be treated as the sole cause.</t>
  </si>
  <si>
    <t>The clip marks a breakdown of reciprocal environmental-affective alignment: as desire is redirected, the visual field contracts across changing spaces rather than cohering around one supportive environment.</t>
  </si>
  <si>
    <t>Corrected coding explicitly marks mixed publicness ('private; public'). Interpret cautiously because aggregate LAB metrics combine several spatial contexts.</t>
  </si>
  <si>
    <t>The enclosed private study/room is relatively dim and low-chroma (L*=28.1; chroma=8.5; high-chroma=1.8%) while retaining moderate-high contrast.</t>
  </si>
  <si>
    <t>Sensual sculpture images, books, screens, and domestic objects mediate erotic attention indirectly while Elio anticipates the midnight meeting.</t>
  </si>
  <si>
    <t>The built interior translates desire into cultural images, objects, and anticipation rather than shared bodily action in nature.</t>
  </si>
  <si>
    <t>Environmental communication here operates through mediated sensuality: an enclosed interior can carry desire symbolically even while its chromatic field is more compressed than the film’s open natural spaces.</t>
  </si>
  <si>
    <t>Enclosed/private. Useful for contrasting symbolic sensuality with the embodied openness of ponds and pools.</t>
  </si>
  <si>
    <t>The semi-private pool remains bright and chromatic (L*=45.7; chroma=17.3) but its high-chroma share falls to 2.8%, far below earlier pool scenes.</t>
  </si>
  <si>
    <t>Elio turns to Marzia for temporary consolation in a setting previously associated with developing intimacy with Oliver.</t>
  </si>
  <si>
    <t>The pool’s established sensual affordances persist, but their relational meaning is redirected; the same environment supports a different and less secure emotional alignment.</t>
  </si>
  <si>
    <t>This comparison demonstrates that environmental actors do not carry fixed meanings. The pool’s visual grammar is relatively stable, but its affective function changes with the relationship enacted within it.</t>
  </si>
  <si>
    <t>Semi-open/semi-private. Especially useful against clips1, 2, and 6.</t>
  </si>
  <si>
    <t>The enclosed private attic is extremely dark and desaturated (L*=7.3; chroma=3.7; high-chroma≈0%; contrast=17.9).</t>
  </si>
  <si>
    <t>Physical intimacy with Marzia occurs within a spatially compressed interior while Elio’s desire remains oriented toward Oliver.</t>
  </si>
  <si>
    <t>Enclosure contains bodily action but narrows the affective field, visually matching uncertainty and misdirected intimacy rather than emotional expansion.</t>
  </si>
  <si>
    <t>The attic supports the broader distinction between privacy and openness: private enclosure is associated with visual compression, unlike the bright private pond where intimacy becomes mutually articulated.</t>
  </si>
  <si>
    <t>Enclosed/private. Pair with clips7/17 to show that privacy itself is not the decisive variable.</t>
  </si>
  <si>
    <t>The private room is among the darkest and least chromatic scenes (L*=6.0; chroma=2.8; high-chroma≈0%), despite representing the relationship’s sexual consummation.</t>
  </si>
  <si>
    <t>The room protects Elio and Oliver from external scrutiny, enabling sex and affection while visually enclosing that intimacy in darkness.</t>
  </si>
  <si>
    <t>Private interior space shelters consummated desire but also marks its secrecy; emotional intensity is expressed through protected enclosure rather than chromatic abundance.</t>
  </si>
  <si>
    <t>This clip is a crucial qualification to the chroma argument: positive intimacy does not always produce high chroma. When intimacy must remain secret, the environment can support the relationship through darkness and concealment.</t>
  </si>
  <si>
    <t>Corrected coding: semi-open/private because of the adjacent exterior/window field, but narratively centered on a private room.</t>
  </si>
  <si>
    <t>The public-lake transition is low in chroma (6.7) and relatively low in lightness (L*=21.0), marking a sharp decline from the earlier pool and private-pond sequences.</t>
  </si>
  <si>
    <t>rupture_marker</t>
  </si>
  <si>
    <t>Elio and Oliver swim together after sexual intimacy, yet anxiety about loss or judgment replaces the earlier ease of exploratory water scenes.</t>
  </si>
  <si>
    <t>Water remains physically present but no longer carries uncomplicated sensual expansion; it becomes transitional, linking intimacy to anticipated separation.</t>
  </si>
  <si>
    <t>The lake’s changing affective function demonstrates narrative modulation: the environmental actor persists while its chromatic and emotional alignment shifts from facilitation toward uncertainty and rupture.</t>
  </si>
  <si>
    <t>Corrected sheet codes the setting semi-open/public even though no crowd is visible; treat publicness as spatial/social accessibility rather than actual crowd density.</t>
  </si>
  <si>
    <t>The open waterfall/mountain landscape restores very high lightness (L*=61.1) and relatively strong chroma (16.8), producing the clearest late-film visual expansion.</t>
  </si>
  <si>
    <t>Waterfall movement, mountain scale, mist, rocks, and vegetation accompany joy, excitement, tenderness, and temporary emotional release during the farewell trip.</t>
  </si>
  <si>
    <t>Large-scale nature magnifies the characters’ remaining intimacy through brightness, motion, and spatial openness.</t>
  </si>
  <si>
    <t>This public but uncrowded natural setting shows again that publicness does not mechanically suppress affect. Environmental scale and relative freedom from social scrutiny allow a final expansion before separation.</t>
  </si>
  <si>
    <t>Open/public, but no visible crowd. Strong Act III counterpoint to the dark public city scene in clip24.</t>
  </si>
  <si>
    <t>The semi-open public city sequence is extremely dark and low-chroma (L*=9.3; chroma=5.0; high-chroma=0.1%), with relatively low contrast.</t>
  </si>
  <si>
    <t>Public architecture, cars, columns, and passersby frame joy and desire already mixed with sadness, anxiety, and impending separation.</t>
  </si>
  <si>
    <t>The social city remains active around the couple while their private affective world contracts, turning public pleasure into farewell melancholy.</t>
  </si>
  <si>
    <t>Late public built space becomes a rupture field: the environment does not erase intimacy, but its darkness and social visibility help reorient that intimacy toward imminent loss.</t>
  </si>
  <si>
    <t>Semi-open/public. Pair with clip11 to show the sharp contrast between natural expansion and urban farewell within the same act.</t>
  </si>
  <si>
    <t>The frozen pond is very bright but almost chromatically emptied (L*=56.7; chroma=6.4; chroma_std=1.17; high-chroma=0%), making lightness and saturation move in opposite directions.</t>
  </si>
  <si>
    <t>memory_carrier</t>
  </si>
  <si>
    <t>No character is present; the transformed pond carries the aftereffect of the relationship through seasonal change and environmental continuity.</t>
  </si>
  <si>
    <t>The same pond once associated with private sensual intimacy becomes a pale winter afterimage, preserving place while stripping away summer chromatic vitality.</t>
  </si>
  <si>
    <t>This is the clearest environment-only communication in the corpus: the environmental actor carries memory and loss without character performance, demonstrating that cinematic nature can retain narrative affect autonomously.</t>
  </si>
  <si>
    <t>Human coding identifies the 'frozen secret pond'; corrected AI sheet codes the visible field as open/public. The narrative continuity of place is more important than literal crowd presence here.</t>
  </si>
  <si>
    <t>The enclosed private room is low-chroma (5.9) and relatively dark (L*=22.4), with firelight and domestic objects producing contained rather than expansive warmth.</t>
  </si>
  <si>
    <t>The domestic interior contains Elio’s quiet grief as Oliver announces his coming marriage, replacing shared environmental movement with solitary emotional containment.</t>
  </si>
  <si>
    <t>Interior enclosure becomes a vessel for restrained heartbreak: affect is concentrated inward rather than distributed through open landscape.</t>
  </si>
  <si>
    <t>The final domestic scene confirms the contraction of the film’s visual-affective world. Low chroma and enclosure align with grief after the relationship’s spatially expansive summer intimacy has ended.</t>
  </si>
  <si>
    <t>Enclosed/private. Strong closing contrast with clip11’s open waterfall and clip12’s bright but desaturated frozen pond.</t>
  </si>
  <si>
    <t>Four-act LAB and interpretive summary — revised background coding</t>
  </si>
  <si>
    <t>Setup has the highest mean chroma. Crucially, this expansion is not confined to private space: clip14 is open/public and reaches the film’s chromatic maximum, while the semi-private pools also remain vivid. Early attraction is therefore visually expansive before its social meaning becomes fully recognized.</t>
  </si>
  <si>
    <t>Act I becomes environmentally differentiated rather than simply darker: the public dance and night lake compress affect, while Lake Garda and the historical center can remain bright. Recognition of desire increases concealment, so lightness, chroma, and publicness no longer move together in a simple positive/negative pattern.</t>
  </si>
  <si>
    <t>Act II has the lowest mean lightness because private interiors and displaced intimacy are extremely dark, yet the open/private secret pond and meadow remain among the film’s most chromatic scenes. The corrected coding shows that privacy itself is not compressive; private nature and private enclosure have opposite visual-affective profiles.</t>
  </si>
  <si>
    <t>Act III partly restores lightness through the waterfall and frozen pond, but mean chroma falls to its lowest stage level. The visual trajectory therefore shifts from sensual saturation toward farewell, memory, and grief: brightness can return after desire has been chromatically drained.</t>
  </si>
  <si>
    <t>water-dominant clips 1-12</t>
  </si>
  <si>
    <t>non-water/comparison clips 13-24</t>
  </si>
  <si>
    <t>Comparison clips are darker and less chromatic overall, largely because they include enclosed interiors, urban night scenes, and displaced-affection sequences. However, the public meadow in clip14 is the film’s chromatic maximum, preventing any simple nature/non-nature binary.</t>
  </si>
  <si>
    <t>Publicness / privacy modulation — corrected background coding</t>
  </si>
  <si>
    <t>publicness</t>
  </si>
  <si>
    <t>Private space is heterogeneous: open private pond/meadow scenes are vivid, while private interiors are highly compressed. The mean therefore should not be read as evidence that privacy itself darkens affect.</t>
  </si>
  <si>
    <t>Semi-private settings have the highest mean chroma among the corrected publicness categories, driven mainly by pool/garden scenes that permit bodily proximity while retaining limited social protection.</t>
  </si>
  <si>
    <t>Public settings are highly variable. They include the film’s chromatic maximum (clip14) and bright natural release (clips4/11), but also jealousy, anxious concealment, and farewell. Publicness modulates affect through social visibility rather than determining a fixed visual value.</t>
  </si>
  <si>
    <t>mixed private/public</t>
  </si>
  <si>
    <t>Only clip21 is coded as mixed private/public. Its extremely dark, desaturated aggregate accompanies emotional displacement across several settings, so it should be treated as a composite transition rather than generalized.</t>
  </si>
  <si>
    <t>Spatial openness modulation (corrected background coding)</t>
  </si>
  <si>
    <t>spatial_openness</t>
  </si>
  <si>
    <t>Open environments have the highest mean lightness, chroma, high-chroma share, and contrast. They include both public and private nature, indicating that spatial expansion is a stronger visual correlate of affective expansion than privacy alone.</t>
  </si>
  <si>
    <t>Semi-open settings occupy an intermediate position and include pools, transitional urban spaces, and mixed interior/exterior scenes. Their variability reflects their threshold function between exposure and shelter.</t>
  </si>
  <si>
    <t>Enclosed interiors are the least bright and least chromatic category, with less than 1% high-chroma pixels on average. They are associated with anticipation, displaced intimacy, and grief rather than open sensual expansion.</t>
  </si>
  <si>
    <t>Environment configuration comparison — corrected coding</t>
  </si>
  <si>
    <t>environment_group</t>
  </si>
  <si>
    <t>semi-private pool/garden</t>
  </si>
  <si>
    <t>Semi-private pools/gardens combine high lightness and chroma with strong contrast, supporting bodily proximity, flirtation, and indirect disclosure. Their meaning changes when the relational pairing changes, as clip9 demonstrates.</t>
  </si>
  <si>
    <t>private natural pond/meadow</t>
  </si>
  <si>
    <t>Private natural pond/meadow scenes are as chromatically strong as the pools and have the highest high-chroma share and contrast of these groups. Privacy achieved through natural seclusion supports intimacy without visual enclosure.</t>
  </si>
  <si>
    <t>private interiors</t>
  </si>
  <si>
    <t>Private interiors are dramatically darker and less chromatic than private nature, showing that enclosure—not privacy alone—is associated with secrecy, substitution, consummated intimacy under concealment, and grief.</t>
  </si>
  <si>
    <t>public built/social</t>
  </si>
  <si>
    <t>Public built/social settings are visually mixed but generally less chromatic than pool/pond environments. They often foreground social visibility, indirect communication, jealousy, or impending separation.</t>
  </si>
  <si>
    <t>public lake/water</t>
  </si>
  <si>
    <t>Public lake/water scenes remain relatively bright on average but have a low high-chroma share. Across jealousy, concealed affection, uncertainty, farewell, and winter memory, public water functions as a variable environmental actor rather than a stable symbol.</t>
  </si>
  <si>
    <t>Revised computational visual-affective findings — corrected background coding</t>
  </si>
  <si>
    <t>theoretical_link</t>
  </si>
  <si>
    <t>F1</t>
  </si>
  <si>
    <t>Chroma decline is the clearest four-act visual-affective trajectory.</t>
  </si>
  <si>
    <t>Stage chroma_mean declines from Setup 18.79 to Act I 13.37, Act II 10.36, and Act III 8.17. Lightness does not follow the same path: it rises in Act I, falls in Act II, then returns to 34.12 in Act III.</t>
  </si>
  <si>
    <t>The romance is progressively drained of chromatic sensuality even when brightness later returns. Chroma therefore tracks the movement from emerging desire toward memory and loss more consistently than simple darkening.</t>
  </si>
  <si>
    <t>visual-affective trajectory; cinematic mood</t>
  </si>
  <si>
    <t>Use as the central computational finding. It supports a narrative-affective interpretation without reducing positive/negative emotion to brightness alone.</t>
  </si>
  <si>
    <t>clip14, clip17, clip19, clip11, clip12, clip20</t>
  </si>
  <si>
    <t>F2</t>
  </si>
  <si>
    <t>Spatial openness is more consistently associated with visual expansion than privacy alone.</t>
  </si>
  <si>
    <t>Corrected openness coding: open scenes (n=11) average L*=40.86, chroma=14.87, high-chroma=10.70%, contrast=59.05; semi-open scenes (n=10) average L*=25.47, chroma=10.78, high-chroma=5.83%; enclosed scenes (n=3) average L*=19.29, chroma=6.03, high-chroma=0.96%.</t>
  </si>
  <si>
    <t>Open environments tend to expand the film’s visual-affective field, whereas enclosure compresses it. Because open scenes can be either public or private, spatial form should be analytically separated from social publicness.</t>
  </si>
  <si>
    <t>environmental affordance; mood mediation</t>
  </si>
  <si>
    <t>Use to refine the article’s environmental model: distinguish physical openness from social privacy/publicness.</t>
  </si>
  <si>
    <t>clip14, clip4, clip7, clip17, clip18, clip22, clip20</t>
  </si>
  <si>
    <t>F3</t>
  </si>
  <si>
    <t>The corrected coding shows that privacy has opposite effects in natural and enclosed environments.</t>
  </si>
  <si>
    <t>Private natural pond/meadow scenes (clips7/17) average L*=43.66, chroma=18.62, high-chroma=16.93%, contrast=73.73. Private interiors (clips18/22/19/20) average L*=15.97, chroma=5.23, high-chroma=0.72%, contrast=37.31.</t>
  </si>
  <si>
    <t>Privacy itself does not visually suppress intimacy. Privacy achieved through natural seclusion can support chromatic and spatial expansion, while private enclosure is associated with secrecy, displacement, consummation under concealment, and grief.</t>
  </si>
  <si>
    <t>environmental affordance; shelter versus enclosure</t>
  </si>
  <si>
    <t>Use as a major revised finding because it directly follows from the corrected AI_Background_Detection classifications.</t>
  </si>
  <si>
    <t>clip7, clip17, clip18, clip22, clip19, clip20</t>
  </si>
  <si>
    <t>F4</t>
  </si>
  <si>
    <t>Water functions contextually: pools and private ponds are much more chromatically expansive than public lake/water scenes.</t>
  </si>
  <si>
    <t>Semi-private pool/garden scenes average chroma=19.20 and high-chroma=14.14%; private pond/meadow scenes average chroma=18.62 and high-chroma=16.93%; public lake/water scenes average chroma=10.56 and high-chroma=2.61%.</t>
  </si>
  <si>
    <t>Water is not a stable positive symbol. As an environmental actor, its affective function changes with privacy, crowding, relational alignment, and narrative stage—from facilitator and shelter to counterpoint, rupture marker, and memory carrier.</t>
  </si>
  <si>
    <t>environmental actor; relational meaning; affective mediation</t>
  </si>
  <si>
    <t>Use as the principal environmental communication finding and to avoid deterministic symbolism.</t>
  </si>
  <si>
    <t>clip1, clip3, clip4, clip5, clip7, clip8, clip10, clip11, clip12</t>
  </si>
  <si>
    <t>F5</t>
  </si>
  <si>
    <t>Publicness modulates desire through social visibility but does not mechanically suppress visual intensity.</t>
  </si>
  <si>
    <t>Corrected public coding includes the film’s chromatic maximum in the public meadow (clip14), bright public Lake Garda reconciliation (clip4), and the bright public waterfall (clip11), alongside dark or subdued public scenes of jealousy, concealment, and farewell (clips3/15/23/24).</t>
  </si>
  <si>
    <t>The decisive factor is not publicness in isolation but how socially visible space intersects with the characters’ recognition of desire and perceived relational risk. Public environments can amplify, expose, or constrain affect depending on narrative context.</t>
  </si>
  <si>
    <t>social visibility; public mood; affect regulation</t>
  </si>
  <si>
    <t>Use to replace any earlier claim that public space is uniformly suppressive. This substantially improves the article’s conceptual precision.</t>
  </si>
  <si>
    <t>clip14, clip15, clip3, clip4, clip16, clip23, clip11, clip24</t>
  </si>
  <si>
    <t>F6</t>
  </si>
  <si>
    <t>Contrast is less semantically stable than chroma or lightness and should remain a secondary indicator.</t>
  </si>
  <si>
    <t>Mean contrast declines from Setup 65.69 to Act I 59.61 and Act II 45.90, then rises slightly to 47.29 in Act III. Very high contrast appears in both vulnerable/hesitant pool scenes and intimate private-nature scenes, while low contrast clusters in several compressed displacement/interior scenes.</t>
  </si>
  <si>
    <t>Contrast contributes to local scene intensity but does not map consistently onto one emotional state or environmental function. It is better treated as a supporting formal parameter rather than an independent affective code.</t>
  </si>
  <si>
    <t>formal modulation; metric caution</t>
  </si>
  <si>
    <t>Use as a methodological qualification demonstrating that the analysis does not force every computational metric into a deterministic emotional interpretation.</t>
  </si>
  <si>
    <t>clip2, clip6, clip7, clip17, clip3, clip21, clip22</t>
  </si>
  <si>
    <t>F7</t>
  </si>
  <si>
    <t>The frozen pond is the strongest environment-only memory image.</t>
  </si>
  <si>
    <t>clip12 has high L*=56.73 but very low chroma=6.43, the lowest chroma_std=1.17, and 0% high-chroma pixels. No character is visible; the human annotation identifies it as the frozen secret pond after separation.</t>
  </si>
  <si>
    <t>Seasonal transformation preserves place while removing summer chromatic vitality. The environmental actor carries memory and loss without character action, making affective meaning perceptible through environmental continuity itself.</t>
  </si>
  <si>
    <t>environmental memory; mood; environment as actor</t>
  </si>
  <si>
    <t>Use as the closing empirical example: it demonstrates most clearly that cinematic environment can communicate affect autonomously rather than merely background character emotion.</t>
  </si>
  <si>
    <t>Contextualized affective Codebook_Call_Me_By_Your_Name</t>
  </si>
  <si>
    <t>Call Me By Your Name</t>
  </si>
  <si>
    <t>Key plot point</t>
  </si>
  <si>
    <t>Thematic focus and emotional register</t>
  </si>
  <si>
    <t>Narrative context</t>
  </si>
  <si>
    <t>Spatial context</t>
  </si>
  <si>
    <t>Temporal context</t>
  </si>
  <si>
    <t>Psychological projection</t>
  </si>
  <si>
    <t>Narrative quotation</t>
  </si>
  <si>
    <t>Diegetic sound scape</t>
  </si>
  <si>
    <t>Music or non-diegetic sound</t>
  </si>
  <si>
    <t>Music or non-diegetic sound affective texture</t>
  </si>
  <si>
    <t>Set up</t>
  </si>
  <si>
    <t>The hook</t>
  </si>
  <si>
    <t>emotional ambiguity</t>
  </si>
  <si>
    <t>Elio sees Oliver for the first time</t>
  </si>
  <si>
    <t>home, indoor</t>
  </si>
  <si>
    <t>mid-day</t>
  </si>
  <si>
    <t>beginning of the story; who's that? What's gonna happen?</t>
  </si>
  <si>
    <t>dialogue, environmental noise</t>
  </si>
  <si>
    <t>The inciting event</t>
  </si>
  <si>
    <t>friends play volleyball, Oliver touches Elio</t>
  </si>
  <si>
    <t>large meadow</t>
  </si>
  <si>
    <t>intimate yet ambiguous contact that inserts questions into the relationship between Oliver and Elio.</t>
  </si>
  <si>
    <t>cheers, dialogue, environmental noise</t>
  </si>
  <si>
    <t>follow up of inciting event</t>
  </si>
  <si>
    <t>two characters 1st time in a swim pool</t>
  </si>
  <si>
    <t>the pool--small, confined water walled by stones</t>
  </si>
  <si>
    <t>flirtation, curiosity, and vulnerability inside a constrained space.</t>
  </si>
  <si>
    <t>Oliver is curious of what Elio is thinking about</t>
  </si>
  <si>
    <t>water splashes</t>
  </si>
  <si>
    <t>Frank Glazer - Sonatine Bureaucratique</t>
  </si>
  <si>
    <t>Curiosity, light weighted</t>
  </si>
  <si>
    <t>two characters 2nd time in a swimming pool</t>
  </si>
  <si>
    <t>Oliver expresses vulnerability and emotional link to Elio</t>
  </si>
  <si>
    <t>The 1st plot point</t>
  </si>
  <si>
    <t>affection and desire build up; struggle to identify affection and navigate emotions; emotional turmoil</t>
  </si>
  <si>
    <t>friends dancing in music, Elio becomes jealous of Oliver's interaction with girls</t>
  </si>
  <si>
    <t>night</t>
  </si>
  <si>
    <t>Elio's jealousy, his confrontation with inner truth/affection toward Oliver</t>
  </si>
  <si>
    <t>louch disco music, dialogue</t>
  </si>
  <si>
    <t xml:space="preserve">
The Psychedelic Furs - Love My Way</t>
  </si>
  <si>
    <t>energetic, lively, movement, energy</t>
  </si>
  <si>
    <t>follow up of 1st plot point</t>
  </si>
  <si>
    <t>after the dance, Elio swims in the lake with Marzia, a girl who likes him</t>
  </si>
  <si>
    <t>the big lake</t>
  </si>
  <si>
    <t>Elio refuses to acknowledge his affection toward Oliver, instead misdirects it to Marzia</t>
  </si>
  <si>
    <t>water splashes, distance bird chirping and insect</t>
  </si>
  <si>
    <t>Elio and Oliver reconcile after conflict at the sea</t>
  </si>
  <si>
    <t>large body of endless open sea, archeological sighting of historic love</t>
  </si>
  <si>
    <t>mid-day through afternoon</t>
  </si>
  <si>
    <t>emotional complexity, broadness, uncertainty, unknown, charm; venus sculpure; will to explore, adventure, inclusiveness</t>
  </si>
  <si>
    <t>Truce; a historic love story from a third-person perspective</t>
  </si>
  <si>
    <t>quiet sea waves</t>
  </si>
  <si>
    <t>John Adams - Phrygian Gates</t>
  </si>
  <si>
    <t>Delight, cheerful</t>
  </si>
  <si>
    <t>large body of endless water</t>
  </si>
  <si>
    <t>sunset to darkness</t>
  </si>
  <si>
    <t>the eclactic, temporary, and short-lived nature of love</t>
  </si>
  <si>
    <t>calling their names</t>
  </si>
  <si>
    <t>thrilling calls and screams; waves, water splashes, wind</t>
  </si>
  <si>
    <t>prelude to the 1st pinch point</t>
  </si>
  <si>
    <t>two characters 3rd time swim in the pool. Suppressed love awaiting for eruption/disclosure to each other</t>
  </si>
  <si>
    <t xml:space="preserve">Oliver: about the knight that doesn't know whether to speak or die? </t>
  </si>
  <si>
    <t>distant bird chirping and insect buzzing</t>
  </si>
  <si>
    <t>none</t>
  </si>
  <si>
    <t>1st pinch point</t>
  </si>
  <si>
    <t>Elio and Oliver walk through the historical city center and probe each other's feeling</t>
  </si>
  <si>
    <t>an ancient historical city in North Italy, tall walls</t>
  </si>
  <si>
    <t>emotional confinement and pressure, emotional weight, socio-historical and cultural legacy, symbolic pressure of homosexual love</t>
  </si>
  <si>
    <t>Elio: I thought you should know; I wanted you to know</t>
  </si>
  <si>
    <t xml:space="preserve">
Andre Laplante - Une barque sur l’océan from Miroirs </t>
  </si>
  <si>
    <t>curiosity flowing, crystal clear, emotional purity</t>
  </si>
  <si>
    <t>prelude to midpoint</t>
  </si>
  <si>
    <t>disclosure of affection; consolidation of affective attachments; emotional rupture</t>
  </si>
  <si>
    <t>Elio introduces Oliver to his secret pond</t>
  </si>
  <si>
    <t>the cold crystal clear spring that comes from the Alps</t>
  </si>
  <si>
    <t>Introducing to one's secret, hidden, primal, uncontaminated inner territory that shocks but refreshes one's body and mind; used to be in peace but ripples now</t>
  </si>
  <si>
    <t>Elio: This is my spot. It's all mine. Oliver: You're really that afraid of what I think?</t>
  </si>
  <si>
    <t>2nd plot point/midpoint</t>
  </si>
  <si>
    <t>Elio and Oliver's 1st kiss</t>
  </si>
  <si>
    <t>large meadow near the pond</t>
  </si>
  <si>
    <t>emotional rupture, passion erupted</t>
  </si>
  <si>
    <t>Elio: I love this, Oliver. Oliver: Us, you mean?</t>
  </si>
  <si>
    <t>prelude to 2nd pinch point</t>
  </si>
  <si>
    <t>After their 1st kiss, Elio swims alone in the lake full of people but without Oliver</t>
  </si>
  <si>
    <t>loneliness, uncertainty, isolation</t>
  </si>
  <si>
    <t>distant dialogue, cheerful screams</t>
  </si>
  <si>
    <t>While waiting for Oliver, Elio walks with Marzia through the ancient city, discussing about concealing one's true feelings</t>
  </si>
  <si>
    <t>evening</t>
  </si>
  <si>
    <t>emotional concealment, social confinement</t>
  </si>
  <si>
    <t>dialogue</t>
  </si>
  <si>
    <t>While waiting for Oliver, Elio finds temporary emotional console with Marzia, have sex with her near the lake</t>
  </si>
  <si>
    <t>large meadow near the lake</t>
  </si>
  <si>
    <t xml:space="preserve">emotional concealment, socially secretive, emotional repression and misdirection </t>
  </si>
  <si>
    <t>2nd pinch point</t>
  </si>
  <si>
    <t>Oliver discusses with Elio's father about the sensual sculpure discovered from the sea, while Elio discovers Oliver's note to meet at midnight</t>
  </si>
  <si>
    <t>afternoon throughout evening</t>
  </si>
  <si>
    <t>mixture of emotions: waiting, excitement, anxiety, fear, loneliness, repressed passion</t>
  </si>
  <si>
    <t>dialogue, intellectual discussions</t>
  </si>
  <si>
    <t>follow up of 2nd pinch point</t>
  </si>
  <si>
    <t>While waiting for Oliver, Elio finds temporary emotional console with Marzia, swims with her in the pool</t>
  </si>
  <si>
    <t>emotional confinement, ambiguity, distracted</t>
  </si>
  <si>
    <t>While waiting for Oliver, Elio finds temporary emotional console with Marzia, have sex with her in the attic</t>
  </si>
  <si>
    <t>small, dark attic</t>
  </si>
  <si>
    <t>moaning, chanting</t>
  </si>
  <si>
    <t>3rd plot point</t>
  </si>
  <si>
    <t>Elio and Oliver have sex in their room</t>
  </si>
  <si>
    <t>midnight throughout dawn</t>
  </si>
  <si>
    <t>emotional rupture, passion erupted, mixed with privacy, fear, vulnerability, and anxiety over social judgement.</t>
  </si>
  <si>
    <t>moaning, chanting, distant bird chirping and insect</t>
  </si>
  <si>
    <t>Sufjan Stevens-- Vision of Gideon</t>
  </si>
  <si>
    <t>piano chords with a soft ballad creating a mixture of water-like flowy yet strong melancholia, emotional purity, and emotional heaviness</t>
  </si>
  <si>
    <t>follow up of 3rd plot point</t>
  </si>
  <si>
    <t>emotional complexity; affective bonds shadowed by fear and doubt; emotional rupture and climax; emotional decline and affective attachments loosen</t>
  </si>
  <si>
    <t>doubt, fear, uncertainty overwhelm Elio and Oliver after intimate contact, they go swim in the lake</t>
  </si>
  <si>
    <t>the lake in shimmer lighting, covered in willow catkins</t>
  </si>
  <si>
    <t>dawn through morning</t>
  </si>
  <si>
    <t>moral judgment, uncertain of each other's thought, ambiguity, doubt veiling love or passion; transitional state, transition to growth of passion</t>
  </si>
  <si>
    <t>Oliver: are you gonna hold what happened last night against me?</t>
  </si>
  <si>
    <t>distant bird chirping and church bell, water splashes</t>
  </si>
  <si>
    <t>The climax</t>
  </si>
  <si>
    <t>Oliver and Elio visit the waterfall as a farewell trip</t>
  </si>
  <si>
    <t>super wide shot of mountain and waterfall, broad landscape</t>
  </si>
  <si>
    <t>mixture of complex emotions of passion, joy, anxiety, and melancholia; peak expression of love and passion; what awaits is a decline; the vast unknown future and emotional world--where will this love go</t>
  </si>
  <si>
    <t>Overwhelming sound of waterfall, almost muted screams of names in thrill</t>
  </si>
  <si>
    <t>Sufjan Stevens-- Mystery of Love</t>
  </si>
  <si>
    <t>Melancholic and mysterious: delightful, light weighted cheers and flowy unstable emotions of love in a melancholic texture</t>
  </si>
  <si>
    <t>Prelude to the end</t>
  </si>
  <si>
    <t>In the night before the farewell, Oliver and Elio visit an ancient city</t>
  </si>
  <si>
    <t>dialogue, pop music</t>
  </si>
  <si>
    <t>vivid, energetic, slightly melancholic</t>
  </si>
  <si>
    <t>Static shot of Elio's secret pond frozen in winter's snow</t>
  </si>
  <si>
    <t>wide static shot of the pond</t>
  </si>
  <si>
    <t>day time unknown of time</t>
  </si>
  <si>
    <t>the soul and emotion's descent into coldness; affective depletion and drained sensual vitality</t>
  </si>
  <si>
    <t>quiet snow falling</t>
  </si>
  <si>
    <t xml:space="preserve">
Szervánszky &amp; Cavaye - Le jardin féerique from Ma mère l'Oye</t>
  </si>
  <si>
    <t>Piano balad of quiet and lasting sadness, eternal sadness and melancholia</t>
  </si>
  <si>
    <t>The end</t>
  </si>
  <si>
    <t>Clip20</t>
  </si>
  <si>
    <t>Elio receives Oliver's call, telling him about his coming wedding with a woman; Elio tearing quietly in the ending scene</t>
  </si>
  <si>
    <t>the loss of love, compromise in life, the imperfect nature of life and love, the treasure of memory; memory, grief, and inner flow of the pond</t>
  </si>
  <si>
    <t>wood cracking in fireplace</t>
  </si>
  <si>
    <t>Water-dominant clips are brighter and more contrastive overall than comparison clips, but the background coding shows strong internal divergence. Semi-private pools and private ponds are highly chromatic, whereas several public-lake scenes are much less saturated. Water therefore functions contextually rather than as a fixed positive code.</t>
  </si>
  <si>
    <t>Elio and Oliver swim in lake Garda</t>
  </si>
  <si>
    <r>
      <rPr>
        <sz val="11"/>
        <rFont val="Carlito"/>
      </rPr>
      <t>exposure_field;</t>
    </r>
    <r>
      <rPr>
        <u/>
        <sz val="11"/>
        <rFont val="Carlito"/>
      </rPr>
      <t xml:space="preserve"> constraining_field</t>
    </r>
  </si>
  <si>
    <t>/Users/…../Downloads/LAB/call_me_by_your_name/clips/4_act/visual_trend_setup/combined_lab_collection_summary_setup.csv</t>
  </si>
  <si>
    <t>/Users/xxxx/Downloads/LAB/call_me_by_your_name/environmental_affective_coding_workbook.xlsx</t>
  </si>
  <si>
    <t>/Users/xxxx/Downloads/LAB/call_me_by_your_name/clips/4_act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</si>
</sst>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name val="Carlito"/>
    </font>
    <font>
      <sz val="12"/>
      <color theme="1"/>
      <name val="Calibri"/>
      <family val="2"/>
      <scheme val="minor"/>
    </font>
    <font>
      <sz val="12"/>
      <color theme="1"/>
      <name val="Calibri"/>
      <family val="2"/>
      <scheme val="minor"/>
    </font>
    <font>
      <b/>
      <sz val="11"/>
      <color rgb="FF000000"/>
      <name val="Carlito"/>
    </font>
    <font>
      <sz val="11"/>
      <color theme="1"/>
      <name val="Carlito"/>
    </font>
    <font>
      <sz val="11"/>
      <color rgb="FF000000"/>
      <name val="Carlito"/>
    </font>
    <font>
      <b/>
      <sz val="11"/>
      <color rgb="FFFFFFFF"/>
      <name val="Carlito"/>
    </font>
    <font>
      <b/>
      <sz val="11"/>
      <color rgb="FF1F2933"/>
      <name val="Carlito"/>
    </font>
    <font>
      <b/>
      <sz val="14"/>
      <color rgb="FFFFFFFF"/>
      <name val="Carlito"/>
    </font>
    <font>
      <b/>
      <sz val="11"/>
      <name val="Carlito"/>
    </font>
    <font>
      <b/>
      <sz val="11"/>
      <color rgb="FF1F1F1F"/>
      <name val="Carlito"/>
    </font>
    <font>
      <sz val="12"/>
      <color rgb="FFFF0000"/>
      <name val="Calibri"/>
      <family val="2"/>
      <scheme val="minor"/>
    </font>
    <font>
      <b/>
      <sz val="12"/>
      <color theme="1"/>
      <name val="Calibri"/>
      <family val="2"/>
      <scheme val="minor"/>
    </font>
    <font>
      <b/>
      <sz val="12"/>
      <color rgb="FFFF0000"/>
      <name val="Calibri"/>
      <family val="2"/>
      <scheme val="minor"/>
    </font>
    <font>
      <sz val="12"/>
      <color theme="1"/>
      <name val="Aptos Narrow (Body)"/>
    </font>
    <font>
      <b/>
      <sz val="12"/>
      <color rgb="FFFFFF00"/>
      <name val="Calibri"/>
      <family val="2"/>
      <scheme val="minor"/>
    </font>
    <font>
      <sz val="12"/>
      <color rgb="FF000000"/>
      <name val="Calibri"/>
      <family val="2"/>
      <scheme val="minor"/>
    </font>
    <font>
      <b/>
      <sz val="11"/>
      <color theme="1"/>
      <name val="Carlito"/>
    </font>
    <font>
      <u/>
      <sz val="11"/>
      <name val="Carlito"/>
    </font>
  </fonts>
  <fills count="18">
    <fill>
      <patternFill patternType="none"/>
    </fill>
    <fill>
      <patternFill patternType="gray125"/>
    </fill>
    <fill>
      <patternFill patternType="solid">
        <fgColor theme="4" tint="0.79985961485641044"/>
        <bgColor indexed="65"/>
      </patternFill>
    </fill>
    <fill>
      <patternFill patternType="solid">
        <fgColor rgb="FFC0E6F5"/>
      </patternFill>
    </fill>
    <fill>
      <patternFill patternType="solid">
        <fgColor rgb="FF1F4E78"/>
      </patternFill>
    </fill>
    <fill>
      <patternFill patternType="solid">
        <fgColor rgb="FFFFFF00"/>
      </patternFill>
    </fill>
    <fill>
      <patternFill patternType="solid">
        <fgColor rgb="FF1F4E78"/>
      </patternFill>
    </fill>
    <fill>
      <patternFill patternType="solid">
        <fgColor rgb="FF0F766E"/>
      </patternFill>
    </fill>
    <fill>
      <patternFill patternType="solid">
        <fgColor rgb="FFD9EAF7"/>
      </patternFill>
    </fill>
    <fill>
      <patternFill patternType="solid">
        <fgColor rgb="FF7C2D12"/>
      </patternFill>
    </fill>
    <fill>
      <patternFill patternType="solid">
        <fgColor rgb="FF374151"/>
      </patternFill>
    </fill>
    <fill>
      <patternFill patternType="solid">
        <fgColor rgb="FFFFFF00"/>
      </patternFill>
    </fill>
    <fill>
      <patternFill patternType="solid">
        <fgColor rgb="FFD9EAF7"/>
      </patternFill>
    </fill>
    <fill>
      <patternFill patternType="solid">
        <fgColor rgb="FF1F4E78"/>
      </patternFill>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3" tint="0.749992370372631"/>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rgb="FF44B3E1"/>
      </top>
      <bottom style="thin">
        <color rgb="FF44B3E1"/>
      </bottom>
      <diagonal/>
    </border>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2" fillId="0" borderId="4"/>
  </cellStyleXfs>
  <cellXfs count="65">
    <xf numFmtId="0" fontId="0" fillId="0" borderId="0" xfId="0"/>
    <xf numFmtId="0" fontId="0" fillId="0" borderId="0" xfId="0" applyAlignment="1">
      <alignment vertical="top" wrapText="1"/>
    </xf>
    <xf numFmtId="0" fontId="0" fillId="0" borderId="4" xfId="0" applyBorder="1" applyAlignment="1">
      <alignment vertical="top" wrapText="1"/>
    </xf>
    <xf numFmtId="0" fontId="6" fillId="4" borderId="0" xfId="0" applyFont="1" applyFill="1" applyAlignment="1">
      <alignment horizontal="center" vertical="top" wrapText="1"/>
    </xf>
    <xf numFmtId="0" fontId="6" fillId="4" borderId="0" xfId="0" applyFont="1" applyFill="1" applyAlignment="1">
      <alignment horizontal="center" vertical="center" wrapText="1"/>
    </xf>
    <xf numFmtId="0" fontId="0" fillId="0" borderId="0" xfId="0" applyAlignment="1">
      <alignment wrapText="1"/>
    </xf>
    <xf numFmtId="0" fontId="4" fillId="2" borderId="1" xfId="0" applyFont="1" applyFill="1" applyBorder="1" applyAlignment="1">
      <alignment vertical="top" wrapText="1"/>
    </xf>
    <xf numFmtId="0" fontId="4" fillId="2" borderId="2" xfId="0" applyFont="1" applyFill="1" applyBorder="1" applyAlignment="1">
      <alignment vertical="top" wrapText="1"/>
    </xf>
    <xf numFmtId="0" fontId="4" fillId="0" borderId="2" xfId="0" applyFont="1" applyBorder="1" applyAlignment="1">
      <alignment vertical="top" wrapText="1"/>
    </xf>
    <xf numFmtId="0" fontId="4" fillId="0" borderId="0" xfId="0" applyFont="1" applyAlignment="1">
      <alignment vertical="top" wrapText="1"/>
    </xf>
    <xf numFmtId="0" fontId="5" fillId="3" borderId="3" xfId="0" applyFont="1" applyFill="1" applyBorder="1" applyAlignment="1">
      <alignment vertical="top" wrapText="1"/>
    </xf>
    <xf numFmtId="0" fontId="4" fillId="2" borderId="0" xfId="0" applyFont="1" applyFill="1" applyAlignment="1">
      <alignment vertical="top" wrapText="1"/>
    </xf>
    <xf numFmtId="0" fontId="4" fillId="2" borderId="5" xfId="0" applyFont="1" applyFill="1" applyBorder="1" applyAlignment="1">
      <alignment vertical="top" wrapText="1"/>
    </xf>
    <xf numFmtId="0" fontId="7" fillId="0" borderId="0" xfId="0" applyFont="1" applyAlignment="1">
      <alignment wrapText="1"/>
    </xf>
    <xf numFmtId="0" fontId="0" fillId="5" borderId="0" xfId="0" applyFill="1" applyAlignment="1">
      <alignment wrapText="1"/>
    </xf>
    <xf numFmtId="0" fontId="0" fillId="5" borderId="0" xfId="0" applyFill="1"/>
    <xf numFmtId="0" fontId="6" fillId="6" borderId="0" xfId="0" applyFont="1" applyFill="1" applyAlignment="1">
      <alignment horizontal="center" vertical="center" wrapText="1"/>
    </xf>
    <xf numFmtId="2" fontId="0" fillId="0" borderId="0" xfId="0" applyNumberFormat="1"/>
    <xf numFmtId="0" fontId="9" fillId="0" borderId="0" xfId="0" applyFont="1" applyAlignment="1">
      <alignment vertical="top" wrapText="1"/>
    </xf>
    <xf numFmtId="0" fontId="9" fillId="0" borderId="0" xfId="0" applyFont="1"/>
    <xf numFmtId="0" fontId="0" fillId="11" borderId="0" xfId="0" applyFill="1" applyAlignment="1">
      <alignment vertical="top" wrapText="1"/>
    </xf>
    <xf numFmtId="0" fontId="4" fillId="11" borderId="1" xfId="0" applyFont="1" applyFill="1" applyBorder="1" applyAlignment="1">
      <alignment vertical="top" wrapText="1"/>
    </xf>
    <xf numFmtId="0" fontId="4" fillId="11" borderId="5" xfId="0" applyFont="1" applyFill="1" applyBorder="1" applyAlignment="1">
      <alignment vertical="top" wrapText="1"/>
    </xf>
    <xf numFmtId="0" fontId="4" fillId="11" borderId="2" xfId="0" applyFont="1" applyFill="1" applyBorder="1" applyAlignment="1">
      <alignment vertical="top" wrapText="1"/>
    </xf>
    <xf numFmtId="0" fontId="0" fillId="11" borderId="0" xfId="0" applyFill="1"/>
    <xf numFmtId="0" fontId="7" fillId="0" borderId="0" xfId="0" applyFont="1"/>
    <xf numFmtId="0" fontId="9" fillId="5" borderId="0" xfId="0" applyFont="1" applyFill="1" applyAlignment="1">
      <alignment vertical="top" wrapText="1"/>
    </xf>
    <xf numFmtId="0" fontId="0" fillId="5" borderId="0" xfId="0" applyFill="1" applyAlignment="1">
      <alignment vertical="top" wrapText="1"/>
    </xf>
    <xf numFmtId="0" fontId="6" fillId="13" borderId="0" xfId="0" applyFont="1" applyFill="1" applyAlignment="1">
      <alignment horizontal="center" vertical="center" wrapText="1"/>
    </xf>
    <xf numFmtId="0" fontId="0" fillId="14" borderId="0" xfId="0" applyFill="1" applyAlignment="1">
      <alignment wrapText="1"/>
    </xf>
    <xf numFmtId="0" fontId="0" fillId="14" borderId="0" xfId="0" applyFill="1"/>
    <xf numFmtId="0" fontId="0" fillId="15" borderId="0" xfId="0" applyFill="1" applyAlignment="1">
      <alignment wrapText="1"/>
    </xf>
    <xf numFmtId="0" fontId="0" fillId="15" borderId="0" xfId="0" applyFill="1"/>
    <xf numFmtId="0" fontId="0" fillId="16" borderId="0" xfId="0" applyFill="1" applyAlignment="1">
      <alignment wrapText="1"/>
    </xf>
    <xf numFmtId="0" fontId="0" fillId="16" borderId="0" xfId="0" applyFill="1"/>
    <xf numFmtId="0" fontId="2" fillId="0" borderId="4" xfId="1"/>
    <xf numFmtId="0" fontId="12" fillId="0" borderId="4" xfId="1" applyFont="1" applyAlignment="1">
      <alignment wrapText="1"/>
    </xf>
    <xf numFmtId="0" fontId="12" fillId="0" borderId="4" xfId="1" applyFont="1"/>
    <xf numFmtId="0" fontId="13" fillId="0" borderId="4" xfId="1" applyFont="1"/>
    <xf numFmtId="0" fontId="2" fillId="0" borderId="4" xfId="1" applyAlignment="1">
      <alignment wrapText="1"/>
    </xf>
    <xf numFmtId="0" fontId="2" fillId="0" borderId="4" xfId="1" applyAlignment="1">
      <alignment horizontal="center" wrapText="1"/>
    </xf>
    <xf numFmtId="0" fontId="12" fillId="17" borderId="4" xfId="1" applyFont="1" applyFill="1"/>
    <xf numFmtId="0" fontId="15" fillId="17" borderId="4" xfId="1" applyFont="1" applyFill="1"/>
    <xf numFmtId="0" fontId="13" fillId="0" borderId="4" xfId="1" applyFont="1" applyAlignment="1">
      <alignment horizontal="center"/>
    </xf>
    <xf numFmtId="0" fontId="16" fillId="0" borderId="4" xfId="1" applyFont="1" applyAlignment="1">
      <alignment wrapText="1"/>
    </xf>
    <xf numFmtId="0" fontId="0" fillId="15" borderId="0" xfId="0" applyFill="1" applyAlignment="1">
      <alignment vertical="top" wrapText="1"/>
    </xf>
    <xf numFmtId="0" fontId="17" fillId="15" borderId="0" xfId="0" applyFont="1" applyFill="1" applyAlignment="1">
      <alignment horizontal="center" vertical="center" wrapText="1"/>
    </xf>
    <xf numFmtId="0" fontId="1" fillId="0" borderId="4" xfId="1" applyFont="1" applyAlignment="1">
      <alignment wrapText="1"/>
    </xf>
    <xf numFmtId="0" fontId="18" fillId="15" borderId="0" xfId="0" applyFont="1" applyFill="1" applyAlignment="1">
      <alignment vertical="top" wrapText="1"/>
    </xf>
    <xf numFmtId="0" fontId="12" fillId="0" borderId="4" xfId="1" applyFont="1" applyAlignment="1">
      <alignment horizontal="center"/>
    </xf>
    <xf numFmtId="0" fontId="2" fillId="0" borderId="4" xfId="1" applyAlignment="1">
      <alignment horizontal="center" wrapText="1"/>
    </xf>
    <xf numFmtId="0" fontId="12" fillId="0" borderId="4" xfId="1" applyFont="1" applyAlignment="1">
      <alignment horizontal="center" wrapText="1"/>
    </xf>
    <xf numFmtId="0" fontId="14" fillId="0" borderId="4" xfId="1" applyFont="1" applyAlignment="1">
      <alignment horizontal="center"/>
    </xf>
    <xf numFmtId="0" fontId="11" fillId="0" borderId="4" xfId="1" applyFont="1" applyAlignment="1">
      <alignment horizontal="center"/>
    </xf>
    <xf numFmtId="0" fontId="2" fillId="0" borderId="4" xfId="1" applyAlignment="1">
      <alignment horizontal="center"/>
    </xf>
    <xf numFmtId="0" fontId="14" fillId="0" borderId="4" xfId="1" applyFont="1" applyAlignment="1">
      <alignment horizontal="left" wrapText="1"/>
    </xf>
    <xf numFmtId="0" fontId="13" fillId="0" borderId="4" xfId="1" applyFont="1" applyAlignment="1">
      <alignment horizontal="left" wrapText="1"/>
    </xf>
    <xf numFmtId="0" fontId="8" fillId="7" borderId="0" xfId="0" applyFont="1" applyFill="1" applyAlignment="1">
      <alignment horizontal="center"/>
    </xf>
    <xf numFmtId="0" fontId="0" fillId="0" borderId="0" xfId="0"/>
    <xf numFmtId="2" fontId="0" fillId="0" borderId="0" xfId="0" applyNumberFormat="1"/>
    <xf numFmtId="0" fontId="3" fillId="8" borderId="0" xfId="0" applyFont="1" applyFill="1" applyAlignment="1">
      <alignment horizontal="center" vertical="center" wrapText="1"/>
    </xf>
    <xf numFmtId="0" fontId="10" fillId="12" borderId="0" xfId="0" applyFont="1" applyFill="1" applyAlignment="1">
      <alignment horizontal="center" vertical="center" wrapText="1"/>
    </xf>
    <xf numFmtId="0" fontId="10" fillId="12" borderId="0" xfId="0" applyFont="1" applyFill="1" applyAlignment="1">
      <alignment horizontal="center" vertical="center"/>
    </xf>
    <xf numFmtId="0" fontId="8" fillId="9" borderId="0" xfId="0" applyFont="1" applyFill="1" applyAlignment="1">
      <alignment horizontal="center"/>
    </xf>
    <xf numFmtId="0" fontId="8" fillId="10" borderId="0" xfId="0" applyFont="1" applyFill="1" applyAlignment="1">
      <alignment horizontal="center"/>
    </xf>
  </cellXfs>
  <cellStyles count="2">
    <cellStyle name="Normal" xfId="0" builtinId="0"/>
    <cellStyle name="Normal 2" xfId="1" xr:uid="{B1ACE3FC-34EF-2C49-AFDA-3F76E692FA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Stage-level visual trajectory</a:t>
            </a:r>
          </a:p>
        </c:rich>
      </c:tx>
      <c:overlay val="0"/>
    </c:title>
    <c:autoTitleDeleted val="0"/>
    <c:plotArea>
      <c:layout/>
      <c:lineChart>
        <c:grouping val="standard"/>
        <c:varyColors val="1"/>
        <c:ser>
          <c:idx val="0"/>
          <c:order val="0"/>
          <c:tx>
            <c:v>L_mean</c:v>
          </c:tx>
          <c:cat>
            <c:strRef>
              <c:f>Stage_Summary!$K$4:$K$7</c:f>
              <c:strCache>
                <c:ptCount val="4"/>
                <c:pt idx="0">
                  <c:v>Setup</c:v>
                </c:pt>
                <c:pt idx="1">
                  <c:v>Act I</c:v>
                </c:pt>
                <c:pt idx="2">
                  <c:v>Act II</c:v>
                </c:pt>
                <c:pt idx="3">
                  <c:v>Act III</c:v>
                </c:pt>
              </c:strCache>
            </c:strRef>
          </c:cat>
          <c:val>
            <c:numRef>
              <c:f>Stage_Summary!$L$4:$L$7</c:f>
              <c:numCache>
                <c:formatCode>General</c:formatCode>
                <c:ptCount val="4"/>
                <c:pt idx="0">
                  <c:v>35.133000000000003</c:v>
                </c:pt>
                <c:pt idx="1">
                  <c:v>37.469000000000001</c:v>
                </c:pt>
                <c:pt idx="2">
                  <c:v>25.12</c:v>
                </c:pt>
                <c:pt idx="3">
                  <c:v>34.119</c:v>
                </c:pt>
              </c:numCache>
            </c:numRef>
          </c:val>
          <c:smooth val="0"/>
          <c:extLst>
            <c:ext xmlns:c16="http://schemas.microsoft.com/office/drawing/2014/chart" uri="{C3380CC4-5D6E-409C-BE32-E72D297353CC}">
              <c16:uniqueId val="{00000000-86CD-CF40-B03A-550B669848AC}"/>
            </c:ext>
          </c:extLst>
        </c:ser>
        <c:ser>
          <c:idx val="1"/>
          <c:order val="1"/>
          <c:tx>
            <c:v>chroma_mean</c:v>
          </c:tx>
          <c:cat>
            <c:strRef>
              <c:f>Stage_Summary!$K$4:$K$7</c:f>
              <c:strCache>
                <c:ptCount val="4"/>
                <c:pt idx="0">
                  <c:v>Setup</c:v>
                </c:pt>
                <c:pt idx="1">
                  <c:v>Act I</c:v>
                </c:pt>
                <c:pt idx="2">
                  <c:v>Act II</c:v>
                </c:pt>
                <c:pt idx="3">
                  <c:v>Act III</c:v>
                </c:pt>
              </c:strCache>
            </c:strRef>
          </c:cat>
          <c:val>
            <c:numRef>
              <c:f>Stage_Summary!$M$4:$M$7</c:f>
              <c:numCache>
                <c:formatCode>General</c:formatCode>
                <c:ptCount val="4"/>
                <c:pt idx="0">
                  <c:v>18.786999999999999</c:v>
                </c:pt>
                <c:pt idx="1">
                  <c:v>13.369</c:v>
                </c:pt>
                <c:pt idx="2">
                  <c:v>10.359</c:v>
                </c:pt>
                <c:pt idx="3">
                  <c:v>8.1720000000000006</c:v>
                </c:pt>
              </c:numCache>
            </c:numRef>
          </c:val>
          <c:smooth val="0"/>
          <c:extLst>
            <c:ext xmlns:c16="http://schemas.microsoft.com/office/drawing/2014/chart" uri="{C3380CC4-5D6E-409C-BE32-E72D297353CC}">
              <c16:uniqueId val="{00000001-86CD-CF40-B03A-550B669848AC}"/>
            </c:ext>
          </c:extLst>
        </c:ser>
        <c:ser>
          <c:idx val="2"/>
          <c:order val="2"/>
          <c:tx>
            <c:v>contrast</c:v>
          </c:tx>
          <c:cat>
            <c:strRef>
              <c:f>Stage_Summary!$K$4:$K$7</c:f>
              <c:strCache>
                <c:ptCount val="4"/>
                <c:pt idx="0">
                  <c:v>Setup</c:v>
                </c:pt>
                <c:pt idx="1">
                  <c:v>Act I</c:v>
                </c:pt>
                <c:pt idx="2">
                  <c:v>Act II</c:v>
                </c:pt>
                <c:pt idx="3">
                  <c:v>Act III</c:v>
                </c:pt>
              </c:strCache>
            </c:strRef>
          </c:cat>
          <c:val>
            <c:numRef>
              <c:f>Stage_Summary!$N$4:$N$7</c:f>
              <c:numCache>
                <c:formatCode>General</c:formatCode>
                <c:ptCount val="4"/>
                <c:pt idx="0">
                  <c:v>65.69</c:v>
                </c:pt>
                <c:pt idx="1">
                  <c:v>59.607999999999997</c:v>
                </c:pt>
                <c:pt idx="2">
                  <c:v>45.895000000000003</c:v>
                </c:pt>
                <c:pt idx="3">
                  <c:v>47.286000000000001</c:v>
                </c:pt>
              </c:numCache>
            </c:numRef>
          </c:val>
          <c:smooth val="0"/>
          <c:extLst>
            <c:ext xmlns:c16="http://schemas.microsoft.com/office/drawing/2014/chart" uri="{C3380CC4-5D6E-409C-BE32-E72D297353CC}">
              <c16:uniqueId val="{00000002-86CD-CF40-B03A-550B669848AC}"/>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8</xdr:row>
      <xdr:rowOff>0</xdr:rowOff>
    </xdr:from>
    <xdr:to>
      <xdr:col>18</xdr:col>
      <xdr:colOff>0</xdr:colOff>
      <xdr:row>25</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E823-CE36-FC4C-B62B-8FECC7ED1113}">
  <dimension ref="A1:L28"/>
  <sheetViews>
    <sheetView zoomScale="89" zoomScaleNormal="120" workbookViewId="0">
      <selection activeCell="E17" sqref="E17"/>
    </sheetView>
  </sheetViews>
  <sheetFormatPr baseColWidth="10" defaultRowHeight="16"/>
  <cols>
    <col min="1" max="1" width="25" style="35" customWidth="1"/>
    <col min="2" max="2" width="21.83203125" style="35" customWidth="1"/>
    <col min="3" max="3" width="20.5" style="35" customWidth="1"/>
    <col min="4" max="4" width="12.83203125" style="37" customWidth="1"/>
    <col min="5" max="5" width="31.6640625" style="35" customWidth="1"/>
    <col min="6" max="6" width="17.33203125" style="35" customWidth="1"/>
    <col min="7" max="7" width="20.1640625" style="35" customWidth="1"/>
    <col min="8" max="8" width="30" style="35" customWidth="1"/>
    <col min="9" max="9" width="31" style="35" customWidth="1"/>
    <col min="10" max="10" width="26" style="35" customWidth="1"/>
    <col min="11" max="11" width="20" style="35" customWidth="1"/>
    <col min="12" max="12" width="40.6640625" style="35" customWidth="1"/>
    <col min="13" max="16384" width="10.83203125" style="35"/>
  </cols>
  <sheetData>
    <row r="1" spans="1:12" ht="58" customHeight="1">
      <c r="A1" s="49" t="s">
        <v>681</v>
      </c>
      <c r="B1" s="49"/>
      <c r="C1" s="49"/>
      <c r="D1" s="49"/>
    </row>
    <row r="2" spans="1:12" ht="41" customHeight="1">
      <c r="B2" s="35" t="s">
        <v>682</v>
      </c>
      <c r="D2" s="36"/>
    </row>
    <row r="3" spans="1:12" ht="34">
      <c r="B3" s="37" t="s">
        <v>683</v>
      </c>
      <c r="C3" s="36" t="s">
        <v>684</v>
      </c>
      <c r="E3" s="37" t="s">
        <v>685</v>
      </c>
      <c r="F3" s="37" t="s">
        <v>686</v>
      </c>
      <c r="G3" s="37" t="s">
        <v>687</v>
      </c>
      <c r="H3" s="37" t="s">
        <v>688</v>
      </c>
      <c r="I3" s="37" t="s">
        <v>689</v>
      </c>
      <c r="J3" s="37" t="s">
        <v>690</v>
      </c>
      <c r="K3" s="36" t="s">
        <v>691</v>
      </c>
      <c r="L3" s="36" t="s">
        <v>692</v>
      </c>
    </row>
    <row r="4" spans="1:12" ht="60" customHeight="1">
      <c r="A4" s="51" t="s">
        <v>693</v>
      </c>
      <c r="B4" s="38" t="s">
        <v>694</v>
      </c>
      <c r="C4" s="52" t="s">
        <v>695</v>
      </c>
      <c r="D4" s="37" t="s">
        <v>97</v>
      </c>
      <c r="E4" s="39" t="s">
        <v>696</v>
      </c>
      <c r="F4" s="35" t="s">
        <v>697</v>
      </c>
      <c r="G4" s="35" t="s">
        <v>698</v>
      </c>
      <c r="H4" s="40" t="s">
        <v>699</v>
      </c>
      <c r="I4" s="37"/>
      <c r="J4" s="35" t="s">
        <v>700</v>
      </c>
      <c r="K4" s="37"/>
      <c r="L4" s="37"/>
    </row>
    <row r="5" spans="1:12" ht="89" customHeight="1">
      <c r="A5" s="51"/>
      <c r="B5" s="38" t="s">
        <v>701</v>
      </c>
      <c r="C5" s="53"/>
      <c r="D5" s="37" t="s">
        <v>104</v>
      </c>
      <c r="E5" s="39" t="s">
        <v>702</v>
      </c>
      <c r="F5" s="35" t="s">
        <v>703</v>
      </c>
      <c r="G5" s="35" t="s">
        <v>698</v>
      </c>
      <c r="H5" s="39" t="s">
        <v>704</v>
      </c>
      <c r="I5" s="37"/>
      <c r="J5" s="39" t="s">
        <v>705</v>
      </c>
      <c r="K5" s="37"/>
      <c r="L5" s="37"/>
    </row>
    <row r="6" spans="1:12" ht="64" customHeight="1">
      <c r="A6" s="51"/>
      <c r="B6" s="54" t="s">
        <v>706</v>
      </c>
      <c r="C6" s="53"/>
      <c r="D6" s="41" t="s">
        <v>14</v>
      </c>
      <c r="E6" s="39" t="s">
        <v>707</v>
      </c>
      <c r="F6" s="39" t="s">
        <v>708</v>
      </c>
      <c r="G6" s="39" t="s">
        <v>698</v>
      </c>
      <c r="H6" s="39" t="s">
        <v>709</v>
      </c>
      <c r="I6" s="40" t="s">
        <v>710</v>
      </c>
      <c r="J6" s="35" t="s">
        <v>711</v>
      </c>
      <c r="K6" s="39" t="s">
        <v>712</v>
      </c>
      <c r="L6" s="39" t="s">
        <v>713</v>
      </c>
    </row>
    <row r="7" spans="1:12" ht="67" customHeight="1">
      <c r="A7" s="51"/>
      <c r="B7" s="54"/>
      <c r="C7" s="53"/>
      <c r="D7" s="42" t="s">
        <v>24</v>
      </c>
      <c r="E7" s="39" t="s">
        <v>714</v>
      </c>
      <c r="F7" s="39" t="s">
        <v>708</v>
      </c>
      <c r="G7" s="39" t="s">
        <v>698</v>
      </c>
      <c r="H7" s="39" t="s">
        <v>709</v>
      </c>
      <c r="I7" s="40" t="s">
        <v>715</v>
      </c>
      <c r="J7" s="35" t="s">
        <v>711</v>
      </c>
      <c r="K7" s="39"/>
      <c r="L7" s="39"/>
    </row>
    <row r="8" spans="1:12" ht="89" customHeight="1">
      <c r="A8" s="49" t="s">
        <v>30</v>
      </c>
      <c r="B8" s="43" t="s">
        <v>716</v>
      </c>
      <c r="C8" s="55" t="s">
        <v>717</v>
      </c>
      <c r="D8" s="37" t="s">
        <v>111</v>
      </c>
      <c r="E8" s="39" t="s">
        <v>718</v>
      </c>
      <c r="F8" s="39" t="s">
        <v>703</v>
      </c>
      <c r="G8" s="39" t="s">
        <v>719</v>
      </c>
      <c r="H8" s="39" t="s">
        <v>720</v>
      </c>
      <c r="I8" s="40"/>
      <c r="J8" s="39" t="s">
        <v>721</v>
      </c>
      <c r="K8" s="39" t="s">
        <v>722</v>
      </c>
      <c r="L8" s="39" t="s">
        <v>723</v>
      </c>
    </row>
    <row r="9" spans="1:12" ht="89" customHeight="1">
      <c r="A9" s="49"/>
      <c r="B9" s="54" t="s">
        <v>724</v>
      </c>
      <c r="C9" s="56"/>
      <c r="D9" s="42" t="s">
        <v>29</v>
      </c>
      <c r="E9" s="39" t="s">
        <v>725</v>
      </c>
      <c r="F9" s="39" t="s">
        <v>726</v>
      </c>
      <c r="G9" s="39" t="s">
        <v>719</v>
      </c>
      <c r="H9" s="39" t="s">
        <v>727</v>
      </c>
      <c r="I9" s="40"/>
      <c r="J9" s="39" t="s">
        <v>728</v>
      </c>
      <c r="K9" s="39"/>
      <c r="L9" s="39"/>
    </row>
    <row r="10" spans="1:12" ht="119" customHeight="1">
      <c r="A10" s="49"/>
      <c r="B10" s="54"/>
      <c r="C10" s="56"/>
      <c r="D10" s="41" t="s">
        <v>38</v>
      </c>
      <c r="E10" s="39" t="s">
        <v>729</v>
      </c>
      <c r="F10" s="39" t="s">
        <v>730</v>
      </c>
      <c r="G10" s="39" t="s">
        <v>731</v>
      </c>
      <c r="H10" s="39" t="s">
        <v>732</v>
      </c>
      <c r="I10" s="39" t="s">
        <v>733</v>
      </c>
      <c r="J10" s="39" t="s">
        <v>734</v>
      </c>
      <c r="K10" s="39" t="s">
        <v>735</v>
      </c>
      <c r="L10" s="39" t="s">
        <v>736</v>
      </c>
    </row>
    <row r="11" spans="1:12" ht="93" customHeight="1">
      <c r="A11" s="49"/>
      <c r="B11" s="54"/>
      <c r="C11" s="56"/>
      <c r="D11" s="41" t="s">
        <v>44</v>
      </c>
      <c r="E11" s="47" t="s">
        <v>826</v>
      </c>
      <c r="F11" s="39" t="s">
        <v>737</v>
      </c>
      <c r="G11" s="39" t="s">
        <v>738</v>
      </c>
      <c r="H11" s="39" t="s">
        <v>739</v>
      </c>
      <c r="I11" s="35" t="s">
        <v>740</v>
      </c>
      <c r="J11" s="39" t="s">
        <v>741</v>
      </c>
      <c r="K11" s="39" t="s">
        <v>735</v>
      </c>
      <c r="L11" s="39" t="s">
        <v>736</v>
      </c>
    </row>
    <row r="12" spans="1:12" ht="83" customHeight="1">
      <c r="A12" s="49"/>
      <c r="B12" s="39" t="s">
        <v>742</v>
      </c>
      <c r="C12" s="56"/>
      <c r="D12" s="41" t="s">
        <v>51</v>
      </c>
      <c r="E12" s="39" t="s">
        <v>743</v>
      </c>
      <c r="F12" s="44" t="s">
        <v>708</v>
      </c>
      <c r="G12" s="39" t="s">
        <v>698</v>
      </c>
      <c r="H12" s="44" t="s">
        <v>709</v>
      </c>
      <c r="I12" s="39" t="s">
        <v>744</v>
      </c>
      <c r="J12" s="39" t="s">
        <v>745</v>
      </c>
      <c r="K12" s="39" t="s">
        <v>746</v>
      </c>
    </row>
    <row r="13" spans="1:12" ht="83" customHeight="1">
      <c r="A13" s="49"/>
      <c r="B13" s="38" t="s">
        <v>747</v>
      </c>
      <c r="C13" s="56"/>
      <c r="D13" s="37" t="s">
        <v>118</v>
      </c>
      <c r="E13" s="39" t="s">
        <v>748</v>
      </c>
      <c r="F13" s="39" t="s">
        <v>749</v>
      </c>
      <c r="G13" s="39" t="s">
        <v>698</v>
      </c>
      <c r="H13" s="39" t="s">
        <v>750</v>
      </c>
      <c r="I13" s="39"/>
      <c r="J13" s="39" t="s">
        <v>751</v>
      </c>
      <c r="K13" s="39" t="s">
        <v>752</v>
      </c>
      <c r="L13" s="39" t="s">
        <v>753</v>
      </c>
    </row>
    <row r="14" spans="1:12" ht="83" customHeight="1">
      <c r="A14" s="49" t="s">
        <v>58</v>
      </c>
      <c r="B14" s="35" t="s">
        <v>754</v>
      </c>
      <c r="C14" s="50" t="s">
        <v>755</v>
      </c>
      <c r="D14" s="42" t="s">
        <v>57</v>
      </c>
      <c r="E14" s="39" t="s">
        <v>756</v>
      </c>
      <c r="F14" s="39" t="s">
        <v>757</v>
      </c>
      <c r="G14" s="39" t="s">
        <v>698</v>
      </c>
      <c r="H14" s="39" t="s">
        <v>758</v>
      </c>
      <c r="I14" s="39" t="s">
        <v>759</v>
      </c>
      <c r="J14" s="39" t="s">
        <v>711</v>
      </c>
      <c r="K14" s="39" t="s">
        <v>746</v>
      </c>
      <c r="L14" s="39"/>
    </row>
    <row r="15" spans="1:12" ht="73" customHeight="1">
      <c r="A15" s="49"/>
      <c r="B15" s="38" t="s">
        <v>760</v>
      </c>
      <c r="C15" s="50"/>
      <c r="D15" s="37" t="s">
        <v>124</v>
      </c>
      <c r="E15" s="39" t="s">
        <v>761</v>
      </c>
      <c r="F15" s="39" t="s">
        <v>762</v>
      </c>
      <c r="G15" s="39" t="s">
        <v>698</v>
      </c>
      <c r="H15" s="39" t="s">
        <v>763</v>
      </c>
      <c r="I15" s="39" t="s">
        <v>764</v>
      </c>
      <c r="J15" s="39" t="s">
        <v>745</v>
      </c>
      <c r="K15" s="39" t="s">
        <v>746</v>
      </c>
    </row>
    <row r="16" spans="1:12" ht="73" customHeight="1">
      <c r="A16" s="49"/>
      <c r="B16" s="39" t="s">
        <v>765</v>
      </c>
      <c r="C16" s="50"/>
      <c r="D16" s="41" t="s">
        <v>64</v>
      </c>
      <c r="E16" s="39" t="s">
        <v>766</v>
      </c>
      <c r="F16" s="39" t="s">
        <v>726</v>
      </c>
      <c r="G16" s="39" t="s">
        <v>731</v>
      </c>
      <c r="H16" s="39" t="s">
        <v>767</v>
      </c>
      <c r="I16" s="39"/>
      <c r="J16" s="39" t="s">
        <v>768</v>
      </c>
      <c r="K16" s="39" t="s">
        <v>746</v>
      </c>
    </row>
    <row r="17" spans="1:12" ht="73" customHeight="1">
      <c r="A17" s="49"/>
      <c r="B17" s="39" t="s">
        <v>765</v>
      </c>
      <c r="C17" s="50"/>
      <c r="D17" s="37" t="s">
        <v>161</v>
      </c>
      <c r="E17" s="39" t="s">
        <v>769</v>
      </c>
      <c r="F17" s="39" t="s">
        <v>749</v>
      </c>
      <c r="G17" s="39" t="s">
        <v>770</v>
      </c>
      <c r="H17" s="39" t="s">
        <v>771</v>
      </c>
      <c r="I17" s="39"/>
      <c r="J17" s="39" t="s">
        <v>772</v>
      </c>
      <c r="K17" s="39" t="s">
        <v>746</v>
      </c>
    </row>
    <row r="18" spans="1:12" ht="73" customHeight="1">
      <c r="A18" s="49"/>
      <c r="B18" s="39" t="s">
        <v>765</v>
      </c>
      <c r="C18" s="50"/>
      <c r="D18" s="37" t="s">
        <v>149</v>
      </c>
      <c r="E18" s="39" t="s">
        <v>773</v>
      </c>
      <c r="F18" s="39" t="s">
        <v>774</v>
      </c>
      <c r="G18" s="39" t="s">
        <v>719</v>
      </c>
      <c r="H18" s="39" t="s">
        <v>775</v>
      </c>
      <c r="I18" s="39"/>
      <c r="J18" s="39"/>
      <c r="K18" s="39" t="s">
        <v>746</v>
      </c>
    </row>
    <row r="19" spans="1:12" ht="94" customHeight="1">
      <c r="A19" s="49"/>
      <c r="B19" s="38" t="s">
        <v>776</v>
      </c>
      <c r="C19" s="50"/>
      <c r="D19" s="37" t="s">
        <v>130</v>
      </c>
      <c r="E19" s="39" t="s">
        <v>777</v>
      </c>
      <c r="F19" s="39" t="s">
        <v>697</v>
      </c>
      <c r="G19" s="39" t="s">
        <v>778</v>
      </c>
      <c r="H19" s="39" t="s">
        <v>779</v>
      </c>
      <c r="I19" s="39"/>
      <c r="J19" s="39" t="s">
        <v>780</v>
      </c>
      <c r="K19" s="39" t="s">
        <v>746</v>
      </c>
    </row>
    <row r="20" spans="1:12" ht="73" customHeight="1">
      <c r="A20" s="49"/>
      <c r="B20" s="39" t="s">
        <v>781</v>
      </c>
      <c r="C20" s="50"/>
      <c r="D20" s="41" t="s">
        <v>70</v>
      </c>
      <c r="E20" s="39" t="s">
        <v>782</v>
      </c>
      <c r="F20" s="44" t="s">
        <v>708</v>
      </c>
      <c r="G20" s="39" t="s">
        <v>731</v>
      </c>
      <c r="H20" s="39" t="s">
        <v>783</v>
      </c>
      <c r="I20" s="39"/>
      <c r="J20" s="39" t="s">
        <v>711</v>
      </c>
      <c r="K20" s="39" t="s">
        <v>746</v>
      </c>
    </row>
    <row r="21" spans="1:12" ht="73" customHeight="1">
      <c r="A21" s="49"/>
      <c r="B21" s="39" t="s">
        <v>781</v>
      </c>
      <c r="C21" s="50"/>
      <c r="D21" s="37" t="s">
        <v>155</v>
      </c>
      <c r="E21" s="39" t="s">
        <v>784</v>
      </c>
      <c r="F21" s="44" t="s">
        <v>785</v>
      </c>
      <c r="G21" s="39" t="s">
        <v>770</v>
      </c>
      <c r="H21" s="39" t="s">
        <v>775</v>
      </c>
      <c r="I21" s="39"/>
      <c r="J21" s="39" t="s">
        <v>786</v>
      </c>
      <c r="K21" s="39" t="s">
        <v>746</v>
      </c>
    </row>
    <row r="22" spans="1:12" ht="102" customHeight="1">
      <c r="A22" s="49"/>
      <c r="B22" s="38" t="s">
        <v>787</v>
      </c>
      <c r="C22" s="50"/>
      <c r="D22" s="37" t="s">
        <v>137</v>
      </c>
      <c r="E22" s="39" t="s">
        <v>788</v>
      </c>
      <c r="F22" s="44" t="s">
        <v>697</v>
      </c>
      <c r="G22" s="39" t="s">
        <v>789</v>
      </c>
      <c r="H22" s="39" t="s">
        <v>790</v>
      </c>
      <c r="I22" s="39" t="s">
        <v>740</v>
      </c>
      <c r="J22" s="39" t="s">
        <v>791</v>
      </c>
      <c r="K22" s="39" t="s">
        <v>792</v>
      </c>
      <c r="L22" s="39" t="s">
        <v>793</v>
      </c>
    </row>
    <row r="23" spans="1:12" ht="85">
      <c r="A23" s="49" t="s">
        <v>77</v>
      </c>
      <c r="B23" s="35" t="s">
        <v>794</v>
      </c>
      <c r="C23" s="50" t="s">
        <v>795</v>
      </c>
      <c r="D23" s="41" t="s">
        <v>76</v>
      </c>
      <c r="E23" s="39" t="s">
        <v>796</v>
      </c>
      <c r="F23" s="39" t="s">
        <v>797</v>
      </c>
      <c r="G23" s="39" t="s">
        <v>798</v>
      </c>
      <c r="H23" s="39" t="s">
        <v>799</v>
      </c>
      <c r="I23" s="39" t="s">
        <v>800</v>
      </c>
      <c r="J23" s="39" t="s">
        <v>801</v>
      </c>
      <c r="K23" s="39" t="s">
        <v>746</v>
      </c>
    </row>
    <row r="24" spans="1:12" ht="123" customHeight="1">
      <c r="A24" s="49"/>
      <c r="B24" s="38" t="s">
        <v>802</v>
      </c>
      <c r="C24" s="50"/>
      <c r="D24" s="42" t="s">
        <v>83</v>
      </c>
      <c r="E24" s="39" t="s">
        <v>803</v>
      </c>
      <c r="F24" s="39" t="s">
        <v>804</v>
      </c>
      <c r="G24" s="39" t="s">
        <v>698</v>
      </c>
      <c r="H24" s="39" t="s">
        <v>805</v>
      </c>
      <c r="I24" s="39" t="s">
        <v>740</v>
      </c>
      <c r="J24" s="39" t="s">
        <v>806</v>
      </c>
      <c r="K24" s="39" t="s">
        <v>807</v>
      </c>
      <c r="L24" s="39" t="s">
        <v>808</v>
      </c>
    </row>
    <row r="25" spans="1:12" ht="71" customHeight="1">
      <c r="A25" s="49"/>
      <c r="B25" s="35" t="s">
        <v>809</v>
      </c>
      <c r="C25" s="50"/>
      <c r="D25" s="37" t="s">
        <v>166</v>
      </c>
      <c r="E25" s="39" t="s">
        <v>810</v>
      </c>
      <c r="F25" s="39" t="s">
        <v>749</v>
      </c>
      <c r="G25" s="39" t="s">
        <v>719</v>
      </c>
      <c r="H25" s="39" t="s">
        <v>771</v>
      </c>
      <c r="I25" s="39"/>
      <c r="J25" s="39" t="s">
        <v>811</v>
      </c>
      <c r="K25" s="39"/>
      <c r="L25" s="39" t="s">
        <v>812</v>
      </c>
    </row>
    <row r="26" spans="1:12" ht="75" customHeight="1">
      <c r="A26" s="49"/>
      <c r="B26" s="35" t="s">
        <v>809</v>
      </c>
      <c r="C26" s="50"/>
      <c r="D26" s="42" t="s">
        <v>89</v>
      </c>
      <c r="E26" s="39" t="s">
        <v>813</v>
      </c>
      <c r="F26" s="39" t="s">
        <v>814</v>
      </c>
      <c r="G26" s="39" t="s">
        <v>815</v>
      </c>
      <c r="H26" s="39" t="s">
        <v>816</v>
      </c>
      <c r="J26" s="39" t="s">
        <v>817</v>
      </c>
      <c r="K26" s="39" t="s">
        <v>818</v>
      </c>
      <c r="L26" s="39" t="s">
        <v>819</v>
      </c>
    </row>
    <row r="27" spans="1:12" ht="74" customHeight="1">
      <c r="A27" s="49"/>
      <c r="B27" s="38" t="s">
        <v>820</v>
      </c>
      <c r="C27" s="50"/>
      <c r="D27" s="37" t="s">
        <v>821</v>
      </c>
      <c r="E27" s="39" t="s">
        <v>822</v>
      </c>
      <c r="F27" s="39" t="s">
        <v>697</v>
      </c>
      <c r="G27" s="39" t="s">
        <v>815</v>
      </c>
      <c r="H27" s="39" t="s">
        <v>823</v>
      </c>
      <c r="J27" s="39" t="s">
        <v>824</v>
      </c>
      <c r="K27" s="39" t="s">
        <v>792</v>
      </c>
      <c r="L27" s="39" t="s">
        <v>793</v>
      </c>
    </row>
    <row r="28" spans="1:12">
      <c r="E28" s="39"/>
    </row>
  </sheetData>
  <mergeCells count="11">
    <mergeCell ref="A14:A22"/>
    <mergeCell ref="C14:C22"/>
    <mergeCell ref="A23:A27"/>
    <mergeCell ref="C23:C27"/>
    <mergeCell ref="A1:D1"/>
    <mergeCell ref="A4:A7"/>
    <mergeCell ref="C4:C7"/>
    <mergeCell ref="B6:B7"/>
    <mergeCell ref="A8:A13"/>
    <mergeCell ref="C8:C13"/>
    <mergeCell ref="B9: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opLeftCell="A2" workbookViewId="0">
      <selection activeCell="B16" sqref="B16"/>
    </sheetView>
  </sheetViews>
  <sheetFormatPr baseColWidth="10" defaultColWidth="8.83203125" defaultRowHeight="15"/>
  <cols>
    <col min="1" max="3" width="10" customWidth="1"/>
    <col min="4" max="4" width="12" customWidth="1"/>
    <col min="5" max="5" width="48" customWidth="1"/>
    <col min="6" max="6" width="16" customWidth="1"/>
    <col min="7" max="8" width="34" customWidth="1"/>
    <col min="9" max="9" width="14" customWidth="1"/>
    <col min="10" max="10" width="52" customWidth="1"/>
    <col min="11" max="11" width="48" customWidth="1"/>
    <col min="12" max="12" width="54" customWidth="1"/>
    <col min="13" max="13" width="22" customWidth="1"/>
  </cols>
  <sheetData>
    <row r="1" spans="1:13" ht="107" customHeight="1">
      <c r="A1" s="4" t="s">
        <v>0</v>
      </c>
      <c r="B1" s="4" t="s">
        <v>1</v>
      </c>
      <c r="C1" s="4" t="s">
        <v>2</v>
      </c>
      <c r="D1" s="4" t="s">
        <v>3</v>
      </c>
      <c r="E1" s="4" t="s">
        <v>4</v>
      </c>
      <c r="F1" s="4" t="s">
        <v>5</v>
      </c>
      <c r="G1" s="4" t="s">
        <v>6</v>
      </c>
      <c r="H1" s="4" t="s">
        <v>7</v>
      </c>
      <c r="I1" s="4" t="s">
        <v>8</v>
      </c>
      <c r="J1" s="4" t="s">
        <v>9</v>
      </c>
      <c r="K1" s="4" t="s">
        <v>10</v>
      </c>
      <c r="L1" s="4" t="s">
        <v>11</v>
      </c>
      <c r="M1" s="4" t="s">
        <v>12</v>
      </c>
    </row>
    <row r="2" spans="1:13" ht="32">
      <c r="A2" s="1" t="s">
        <v>13</v>
      </c>
      <c r="B2" s="6" t="s">
        <v>14</v>
      </c>
      <c r="C2" s="12">
        <v>3</v>
      </c>
      <c r="D2" s="7" t="s">
        <v>15</v>
      </c>
      <c r="E2" s="7" t="s">
        <v>16</v>
      </c>
      <c r="F2" s="7" t="s">
        <v>17</v>
      </c>
      <c r="G2" s="1" t="s">
        <v>18</v>
      </c>
      <c r="H2" s="1" t="s">
        <v>19</v>
      </c>
      <c r="I2" s="1" t="s">
        <v>20</v>
      </c>
      <c r="J2" s="1" t="s">
        <v>21</v>
      </c>
      <c r="K2" s="1" t="s">
        <v>22</v>
      </c>
      <c r="L2" s="1" t="s">
        <v>23</v>
      </c>
      <c r="M2" s="1"/>
    </row>
    <row r="3" spans="1:13" ht="48">
      <c r="A3" s="1" t="s">
        <v>13</v>
      </c>
      <c r="B3" s="6" t="s">
        <v>24</v>
      </c>
      <c r="C3" s="12">
        <v>4</v>
      </c>
      <c r="D3" s="8" t="s">
        <v>15</v>
      </c>
      <c r="E3" s="8" t="s">
        <v>25</v>
      </c>
      <c r="F3" s="8" t="s">
        <v>17</v>
      </c>
      <c r="G3" s="1" t="s">
        <v>18</v>
      </c>
      <c r="H3" s="1" t="s">
        <v>19</v>
      </c>
      <c r="I3" s="1" t="s">
        <v>20</v>
      </c>
      <c r="J3" s="1" t="s">
        <v>26</v>
      </c>
      <c r="K3" s="1" t="s">
        <v>27</v>
      </c>
      <c r="L3" s="1" t="s">
        <v>28</v>
      </c>
      <c r="M3" s="1"/>
    </row>
    <row r="4" spans="1:13" ht="32">
      <c r="A4" s="1" t="s">
        <v>13</v>
      </c>
      <c r="B4" s="6" t="s">
        <v>29</v>
      </c>
      <c r="C4" s="12">
        <v>6</v>
      </c>
      <c r="D4" s="7" t="s">
        <v>30</v>
      </c>
      <c r="E4" s="7" t="s">
        <v>31</v>
      </c>
      <c r="F4" s="7" t="s">
        <v>17</v>
      </c>
      <c r="G4" s="1" t="s">
        <v>32</v>
      </c>
      <c r="H4" s="1" t="s">
        <v>33</v>
      </c>
      <c r="I4" s="1" t="s">
        <v>34</v>
      </c>
      <c r="J4" s="1" t="s">
        <v>35</v>
      </c>
      <c r="K4" s="1" t="s">
        <v>36</v>
      </c>
      <c r="L4" s="1" t="s">
        <v>37</v>
      </c>
      <c r="M4" s="1"/>
    </row>
    <row r="5" spans="1:13" ht="48">
      <c r="A5" s="1" t="s">
        <v>13</v>
      </c>
      <c r="B5" s="6" t="s">
        <v>38</v>
      </c>
      <c r="C5" s="12">
        <v>7</v>
      </c>
      <c r="D5" s="8" t="s">
        <v>30</v>
      </c>
      <c r="E5" s="8" t="s">
        <v>39</v>
      </c>
      <c r="F5" s="8" t="s">
        <v>17</v>
      </c>
      <c r="G5" s="1" t="s">
        <v>18</v>
      </c>
      <c r="H5" s="1" t="s">
        <v>40</v>
      </c>
      <c r="I5" s="1" t="s">
        <v>20</v>
      </c>
      <c r="J5" s="1" t="s">
        <v>41</v>
      </c>
      <c r="K5" s="1" t="s">
        <v>42</v>
      </c>
      <c r="L5" s="1" t="s">
        <v>43</v>
      </c>
      <c r="M5" s="1"/>
    </row>
    <row r="6" spans="1:13" s="24" customFormat="1" ht="32">
      <c r="A6" s="20" t="s">
        <v>13</v>
      </c>
      <c r="B6" s="21" t="s">
        <v>44</v>
      </c>
      <c r="C6" s="22">
        <v>8</v>
      </c>
      <c r="D6" s="23" t="s">
        <v>30</v>
      </c>
      <c r="E6" s="23" t="s">
        <v>45</v>
      </c>
      <c r="F6" s="23" t="s">
        <v>17</v>
      </c>
      <c r="G6" s="20" t="s">
        <v>46</v>
      </c>
      <c r="H6" s="20" t="s">
        <v>40</v>
      </c>
      <c r="I6" s="20" t="s">
        <v>47</v>
      </c>
      <c r="J6" s="20" t="s">
        <v>48</v>
      </c>
      <c r="K6" s="20" t="s">
        <v>49</v>
      </c>
      <c r="L6" s="20" t="s">
        <v>50</v>
      </c>
      <c r="M6" s="20"/>
    </row>
    <row r="7" spans="1:13" ht="48">
      <c r="A7" s="1" t="s">
        <v>13</v>
      </c>
      <c r="B7" s="6" t="s">
        <v>51</v>
      </c>
      <c r="C7" s="12">
        <v>9</v>
      </c>
      <c r="D7" s="8" t="s">
        <v>30</v>
      </c>
      <c r="E7" s="8" t="s">
        <v>52</v>
      </c>
      <c r="F7" s="8" t="s">
        <v>17</v>
      </c>
      <c r="G7" s="1" t="s">
        <v>18</v>
      </c>
      <c r="H7" s="1" t="s">
        <v>53</v>
      </c>
      <c r="I7" s="1" t="s">
        <v>20</v>
      </c>
      <c r="J7" s="1" t="s">
        <v>54</v>
      </c>
      <c r="K7" s="1" t="s">
        <v>55</v>
      </c>
      <c r="L7" s="1" t="s">
        <v>56</v>
      </c>
      <c r="M7" s="1"/>
    </row>
    <row r="8" spans="1:13" ht="32">
      <c r="A8" s="1" t="s">
        <v>13</v>
      </c>
      <c r="B8" s="6" t="s">
        <v>57</v>
      </c>
      <c r="C8" s="12">
        <v>11</v>
      </c>
      <c r="D8" s="7" t="s">
        <v>58</v>
      </c>
      <c r="E8" s="7" t="s">
        <v>59</v>
      </c>
      <c r="F8" s="7" t="s">
        <v>17</v>
      </c>
      <c r="G8" s="1" t="s">
        <v>18</v>
      </c>
      <c r="H8" s="1" t="s">
        <v>60</v>
      </c>
      <c r="I8" s="2" t="s">
        <v>20</v>
      </c>
      <c r="J8" s="1" t="s">
        <v>61</v>
      </c>
      <c r="K8" s="1" t="s">
        <v>62</v>
      </c>
      <c r="L8" s="1" t="s">
        <v>63</v>
      </c>
      <c r="M8" s="1"/>
    </row>
    <row r="9" spans="1:13" ht="32">
      <c r="A9" s="1" t="s">
        <v>13</v>
      </c>
      <c r="B9" s="6" t="s">
        <v>64</v>
      </c>
      <c r="C9" s="12">
        <v>13</v>
      </c>
      <c r="D9" s="8" t="s">
        <v>58</v>
      </c>
      <c r="E9" s="8" t="s">
        <v>65</v>
      </c>
      <c r="F9" s="8" t="s">
        <v>17</v>
      </c>
      <c r="G9" s="1" t="s">
        <v>66</v>
      </c>
      <c r="H9" s="1" t="s">
        <v>33</v>
      </c>
      <c r="I9" s="1" t="s">
        <v>47</v>
      </c>
      <c r="J9" s="1" t="s">
        <v>67</v>
      </c>
      <c r="K9" s="1" t="s">
        <v>68</v>
      </c>
      <c r="L9" s="1" t="s">
        <v>69</v>
      </c>
      <c r="M9" s="1"/>
    </row>
    <row r="10" spans="1:13" ht="48">
      <c r="A10" s="1" t="s">
        <v>13</v>
      </c>
      <c r="B10" s="6" t="s">
        <v>70</v>
      </c>
      <c r="C10" s="12">
        <v>17</v>
      </c>
      <c r="D10" s="7" t="s">
        <v>58</v>
      </c>
      <c r="E10" s="7" t="s">
        <v>71</v>
      </c>
      <c r="F10" s="7" t="s">
        <v>17</v>
      </c>
      <c r="G10" s="1" t="s">
        <v>72</v>
      </c>
      <c r="H10" s="1" t="s">
        <v>19</v>
      </c>
      <c r="I10" s="2" t="s">
        <v>20</v>
      </c>
      <c r="J10" s="1" t="s">
        <v>73</v>
      </c>
      <c r="K10" s="1" t="s">
        <v>74</v>
      </c>
      <c r="L10" s="1" t="s">
        <v>75</v>
      </c>
      <c r="M10" s="1"/>
    </row>
    <row r="11" spans="1:13" ht="32">
      <c r="A11" s="1" t="s">
        <v>13</v>
      </c>
      <c r="B11" s="6" t="s">
        <v>76</v>
      </c>
      <c r="C11" s="12">
        <v>20</v>
      </c>
      <c r="D11" s="8" t="s">
        <v>77</v>
      </c>
      <c r="E11" s="9" t="s">
        <v>78</v>
      </c>
      <c r="F11" s="10" t="s">
        <v>17</v>
      </c>
      <c r="G11" s="1" t="s">
        <v>18</v>
      </c>
      <c r="H11" s="1" t="s">
        <v>33</v>
      </c>
      <c r="I11" s="1" t="s">
        <v>79</v>
      </c>
      <c r="J11" s="1" t="s">
        <v>80</v>
      </c>
      <c r="K11" s="1" t="s">
        <v>81</v>
      </c>
      <c r="L11" s="1" t="s">
        <v>82</v>
      </c>
      <c r="M11" s="1"/>
    </row>
    <row r="12" spans="1:13" ht="32">
      <c r="A12" s="1" t="s">
        <v>13</v>
      </c>
      <c r="B12" s="6" t="s">
        <v>83</v>
      </c>
      <c r="C12" s="12">
        <v>21</v>
      </c>
      <c r="D12" s="7" t="s">
        <v>77</v>
      </c>
      <c r="E12" s="11" t="s">
        <v>84</v>
      </c>
      <c r="F12" s="10" t="s">
        <v>17</v>
      </c>
      <c r="G12" s="1" t="s">
        <v>18</v>
      </c>
      <c r="H12" s="1" t="s">
        <v>85</v>
      </c>
      <c r="I12" s="2" t="s">
        <v>20</v>
      </c>
      <c r="J12" s="1" t="s">
        <v>86</v>
      </c>
      <c r="K12" s="1" t="s">
        <v>87</v>
      </c>
      <c r="L12" s="1" t="s">
        <v>88</v>
      </c>
      <c r="M12" s="1"/>
    </row>
    <row r="13" spans="1:13" ht="32">
      <c r="A13" s="1" t="s">
        <v>13</v>
      </c>
      <c r="B13" s="6" t="s">
        <v>89</v>
      </c>
      <c r="C13" s="12">
        <v>23</v>
      </c>
      <c r="D13" s="8" t="s">
        <v>77</v>
      </c>
      <c r="E13" s="9" t="s">
        <v>90</v>
      </c>
      <c r="F13" s="10" t="s">
        <v>17</v>
      </c>
      <c r="G13" s="1" t="s">
        <v>91</v>
      </c>
      <c r="H13" s="1" t="s">
        <v>92</v>
      </c>
      <c r="I13" s="1" t="s">
        <v>93</v>
      </c>
      <c r="J13" s="1" t="s">
        <v>94</v>
      </c>
      <c r="K13" s="1" t="s">
        <v>95</v>
      </c>
      <c r="L13" s="1" t="s">
        <v>96</v>
      </c>
      <c r="M13" s="1"/>
    </row>
    <row r="14" spans="1:13" ht="32">
      <c r="A14" s="1" t="s">
        <v>13</v>
      </c>
      <c r="B14" s="6" t="s">
        <v>97</v>
      </c>
      <c r="C14" s="12">
        <v>1</v>
      </c>
      <c r="D14" s="7" t="s">
        <v>15</v>
      </c>
      <c r="E14" s="11" t="s">
        <v>98</v>
      </c>
      <c r="F14" s="10" t="s">
        <v>17</v>
      </c>
      <c r="G14" s="1" t="s">
        <v>99</v>
      </c>
      <c r="H14" s="1" t="s">
        <v>100</v>
      </c>
      <c r="I14" s="2" t="s">
        <v>20</v>
      </c>
      <c r="J14" s="1" t="s">
        <v>101</v>
      </c>
      <c r="K14" s="1" t="s">
        <v>102</v>
      </c>
      <c r="L14" s="1" t="s">
        <v>103</v>
      </c>
      <c r="M14" s="1"/>
    </row>
    <row r="15" spans="1:13" ht="48">
      <c r="A15" s="1" t="s">
        <v>13</v>
      </c>
      <c r="B15" s="6" t="s">
        <v>104</v>
      </c>
      <c r="C15" s="12">
        <v>2</v>
      </c>
      <c r="D15" s="8" t="s">
        <v>15</v>
      </c>
      <c r="E15" s="8" t="s">
        <v>105</v>
      </c>
      <c r="F15" s="8" t="s">
        <v>17</v>
      </c>
      <c r="G15" s="1" t="s">
        <v>106</v>
      </c>
      <c r="H15" s="1" t="s">
        <v>107</v>
      </c>
      <c r="I15" s="2" t="s">
        <v>20</v>
      </c>
      <c r="J15" s="1" t="s">
        <v>108</v>
      </c>
      <c r="K15" s="1" t="s">
        <v>109</v>
      </c>
      <c r="L15" s="1" t="s">
        <v>110</v>
      </c>
      <c r="M15" s="1"/>
    </row>
    <row r="16" spans="1:13" ht="48">
      <c r="A16" s="1" t="s">
        <v>13</v>
      </c>
      <c r="B16" s="6" t="s">
        <v>111</v>
      </c>
      <c r="C16" s="12">
        <v>5</v>
      </c>
      <c r="D16" s="7" t="s">
        <v>30</v>
      </c>
      <c r="E16" s="7" t="s">
        <v>112</v>
      </c>
      <c r="F16" s="7" t="s">
        <v>17</v>
      </c>
      <c r="G16" s="1" t="s">
        <v>113</v>
      </c>
      <c r="H16" s="1" t="s">
        <v>114</v>
      </c>
      <c r="I16" s="1" t="s">
        <v>34</v>
      </c>
      <c r="J16" s="1" t="s">
        <v>115</v>
      </c>
      <c r="K16" s="1" t="s">
        <v>116</v>
      </c>
      <c r="L16" s="1" t="s">
        <v>117</v>
      </c>
      <c r="M16" s="1"/>
    </row>
    <row r="17" spans="1:13" ht="32">
      <c r="A17" s="1" t="s">
        <v>13</v>
      </c>
      <c r="B17" s="6" t="s">
        <v>118</v>
      </c>
      <c r="C17" s="12">
        <v>10</v>
      </c>
      <c r="D17" s="8" t="s">
        <v>30</v>
      </c>
      <c r="E17" s="9" t="s">
        <v>119</v>
      </c>
      <c r="F17" s="10" t="s">
        <v>17</v>
      </c>
      <c r="G17" s="1" t="s">
        <v>18</v>
      </c>
      <c r="H17" s="1" t="s">
        <v>120</v>
      </c>
      <c r="I17" s="2" t="s">
        <v>20</v>
      </c>
      <c r="J17" s="1" t="s">
        <v>121</v>
      </c>
      <c r="K17" s="1" t="s">
        <v>122</v>
      </c>
      <c r="L17" s="1" t="s">
        <v>123</v>
      </c>
      <c r="M17" s="1"/>
    </row>
    <row r="18" spans="1:13" ht="48">
      <c r="A18" s="1" t="s">
        <v>13</v>
      </c>
      <c r="B18" s="6" t="s">
        <v>124</v>
      </c>
      <c r="C18" s="12">
        <v>12</v>
      </c>
      <c r="D18" s="7" t="s">
        <v>58</v>
      </c>
      <c r="E18" s="11" t="s">
        <v>125</v>
      </c>
      <c r="F18" s="10" t="s">
        <v>17</v>
      </c>
      <c r="G18" s="1" t="s">
        <v>18</v>
      </c>
      <c r="H18" s="1" t="s">
        <v>126</v>
      </c>
      <c r="I18" s="2" t="s">
        <v>20</v>
      </c>
      <c r="J18" s="1" t="s">
        <v>127</v>
      </c>
      <c r="K18" s="1" t="s">
        <v>128</v>
      </c>
      <c r="L18" s="1" t="s">
        <v>129</v>
      </c>
      <c r="M18" s="1"/>
    </row>
    <row r="19" spans="1:13" ht="48">
      <c r="A19" s="1" t="s">
        <v>13</v>
      </c>
      <c r="B19" s="6" t="s">
        <v>130</v>
      </c>
      <c r="C19" s="12">
        <v>16</v>
      </c>
      <c r="D19" s="8" t="s">
        <v>58</v>
      </c>
      <c r="E19" s="8" t="s">
        <v>131</v>
      </c>
      <c r="F19" s="8" t="s">
        <v>17</v>
      </c>
      <c r="G19" s="1" t="s">
        <v>132</v>
      </c>
      <c r="H19" s="1" t="s">
        <v>133</v>
      </c>
      <c r="I19" s="2" t="s">
        <v>20</v>
      </c>
      <c r="J19" s="1" t="s">
        <v>134</v>
      </c>
      <c r="K19" s="1" t="s">
        <v>135</v>
      </c>
      <c r="L19" s="1" t="s">
        <v>136</v>
      </c>
      <c r="M19" s="1"/>
    </row>
    <row r="20" spans="1:13" ht="32">
      <c r="A20" s="1" t="s">
        <v>13</v>
      </c>
      <c r="B20" s="6" t="s">
        <v>137</v>
      </c>
      <c r="C20" s="12">
        <v>19</v>
      </c>
      <c r="D20" s="7" t="s">
        <v>58</v>
      </c>
      <c r="E20" s="11" t="s">
        <v>138</v>
      </c>
      <c r="F20" s="10" t="s">
        <v>17</v>
      </c>
      <c r="G20" s="1" t="s">
        <v>18</v>
      </c>
      <c r="H20" s="1" t="s">
        <v>139</v>
      </c>
      <c r="I20" s="1" t="s">
        <v>34</v>
      </c>
      <c r="J20" s="1" t="s">
        <v>140</v>
      </c>
      <c r="K20" s="1" t="s">
        <v>141</v>
      </c>
      <c r="L20" s="1" t="s">
        <v>142</v>
      </c>
      <c r="M20" s="1"/>
    </row>
    <row r="21" spans="1:13" ht="32">
      <c r="A21" s="1" t="s">
        <v>13</v>
      </c>
      <c r="B21" s="6" t="s">
        <v>143</v>
      </c>
      <c r="C21" s="12">
        <v>24</v>
      </c>
      <c r="D21" s="8" t="s">
        <v>77</v>
      </c>
      <c r="E21" s="9" t="s">
        <v>144</v>
      </c>
      <c r="F21" s="10" t="s">
        <v>17</v>
      </c>
      <c r="G21" s="1" t="s">
        <v>145</v>
      </c>
      <c r="H21" s="1" t="s">
        <v>139</v>
      </c>
      <c r="I21" s="2" t="s">
        <v>20</v>
      </c>
      <c r="J21" s="1" t="s">
        <v>146</v>
      </c>
      <c r="K21" s="1" t="s">
        <v>147</v>
      </c>
      <c r="L21" s="1" t="s">
        <v>148</v>
      </c>
      <c r="M21" s="1"/>
    </row>
    <row r="22" spans="1:13" ht="48">
      <c r="A22" s="1" t="s">
        <v>13</v>
      </c>
      <c r="B22" s="6" t="s">
        <v>149</v>
      </c>
      <c r="C22" s="12">
        <v>15</v>
      </c>
      <c r="D22" s="7" t="s">
        <v>58</v>
      </c>
      <c r="E22" s="7" t="s">
        <v>150</v>
      </c>
      <c r="F22" s="7" t="s">
        <v>17</v>
      </c>
      <c r="G22" s="1" t="s">
        <v>32</v>
      </c>
      <c r="H22" s="1" t="s">
        <v>151</v>
      </c>
      <c r="I22" s="1" t="s">
        <v>34</v>
      </c>
      <c r="J22" s="1" t="s">
        <v>152</v>
      </c>
      <c r="K22" s="1" t="s">
        <v>153</v>
      </c>
      <c r="L22" s="1" t="s">
        <v>154</v>
      </c>
      <c r="M22" s="1"/>
    </row>
    <row r="23" spans="1:13" ht="48">
      <c r="A23" s="1" t="s">
        <v>13</v>
      </c>
      <c r="B23" s="6" t="s">
        <v>155</v>
      </c>
      <c r="C23" s="12">
        <v>18</v>
      </c>
      <c r="D23" s="8" t="s">
        <v>58</v>
      </c>
      <c r="E23" s="8" t="s">
        <v>156</v>
      </c>
      <c r="F23" s="8" t="s">
        <v>17</v>
      </c>
      <c r="G23" s="1" t="s">
        <v>32</v>
      </c>
      <c r="H23" s="1" t="s">
        <v>157</v>
      </c>
      <c r="I23" s="2" t="s">
        <v>20</v>
      </c>
      <c r="J23" s="1" t="s">
        <v>158</v>
      </c>
      <c r="K23" s="1" t="s">
        <v>159</v>
      </c>
      <c r="L23" s="1" t="s">
        <v>160</v>
      </c>
      <c r="M23" s="1"/>
    </row>
    <row r="24" spans="1:13" ht="48">
      <c r="A24" s="1" t="s">
        <v>13</v>
      </c>
      <c r="B24" s="6" t="s">
        <v>161</v>
      </c>
      <c r="C24" s="12">
        <v>14</v>
      </c>
      <c r="D24" s="7" t="s">
        <v>58</v>
      </c>
      <c r="E24" s="7" t="s">
        <v>162</v>
      </c>
      <c r="F24" s="7" t="s">
        <v>17</v>
      </c>
      <c r="G24" s="1" t="s">
        <v>32</v>
      </c>
      <c r="H24" s="1" t="s">
        <v>120</v>
      </c>
      <c r="I24" s="2" t="s">
        <v>20</v>
      </c>
      <c r="J24" s="1" t="s">
        <v>163</v>
      </c>
      <c r="K24" s="1" t="s">
        <v>164</v>
      </c>
      <c r="L24" s="1" t="s">
        <v>165</v>
      </c>
      <c r="M24" s="1"/>
    </row>
    <row r="25" spans="1:13" ht="48">
      <c r="A25" s="1" t="s">
        <v>13</v>
      </c>
      <c r="B25" s="6" t="s">
        <v>166</v>
      </c>
      <c r="C25" s="12">
        <v>22</v>
      </c>
      <c r="D25" s="8" t="s">
        <v>77</v>
      </c>
      <c r="E25" s="9" t="s">
        <v>167</v>
      </c>
      <c r="F25" s="10" t="s">
        <v>17</v>
      </c>
      <c r="G25" s="1" t="s">
        <v>18</v>
      </c>
      <c r="H25" s="1" t="s">
        <v>168</v>
      </c>
      <c r="I25" s="1" t="s">
        <v>34</v>
      </c>
      <c r="J25" s="1" t="s">
        <v>169</v>
      </c>
      <c r="K25" s="1" t="s">
        <v>170</v>
      </c>
      <c r="L25" s="1" t="s">
        <v>171</v>
      </c>
      <c r="M25" s="1"/>
    </row>
    <row r="26" spans="1:13">
      <c r="A26" s="1"/>
      <c r="B26" s="1"/>
      <c r="C26" s="1"/>
      <c r="D26" s="1"/>
      <c r="E26" s="1"/>
      <c r="F26" s="1"/>
      <c r="G26" s="1"/>
      <c r="H26" s="1"/>
      <c r="I26" s="1"/>
      <c r="J26" s="1"/>
      <c r="K26" s="1"/>
      <c r="L26" s="1"/>
    </row>
    <row r="27" spans="1:13" ht="48">
      <c r="A27" s="1" t="s">
        <v>172</v>
      </c>
      <c r="B27" s="1"/>
      <c r="C27" s="1"/>
      <c r="D27" s="1"/>
      <c r="E27" s="1"/>
      <c r="F27" s="1"/>
      <c r="G27" s="1"/>
      <c r="H27" s="1"/>
      <c r="I27" s="1"/>
      <c r="J27" s="1"/>
      <c r="K27" s="1"/>
      <c r="L27" s="1"/>
    </row>
    <row r="28" spans="1:13" ht="409.6">
      <c r="A28" s="1" t="s">
        <v>173</v>
      </c>
      <c r="B28" s="1"/>
      <c r="C28" s="1"/>
      <c r="D28" s="1"/>
      <c r="E28" s="1"/>
      <c r="F28" s="1"/>
      <c r="G28" s="1"/>
      <c r="H28" s="1"/>
      <c r="I28" s="1"/>
      <c r="J28" s="1"/>
      <c r="K28" s="1"/>
      <c r="L28" s="1"/>
    </row>
    <row r="29" spans="1:13">
      <c r="A29" s="1"/>
      <c r="B29" s="1"/>
      <c r="C29" s="1"/>
      <c r="D29" s="1"/>
      <c r="E29" s="1"/>
      <c r="F29" s="1"/>
      <c r="G29" s="1"/>
      <c r="H29" s="1"/>
      <c r="I29" s="1"/>
      <c r="J29" s="1"/>
      <c r="K29" s="1"/>
      <c r="L29" s="1"/>
    </row>
    <row r="30" spans="1:13">
      <c r="A30" s="1"/>
      <c r="B30" s="1"/>
      <c r="C30" s="1"/>
      <c r="D30" s="1"/>
      <c r="E30" s="1"/>
      <c r="F30" s="1"/>
      <c r="G30" s="1"/>
      <c r="H30" s="1"/>
      <c r="I30" s="1"/>
      <c r="J30" s="1"/>
      <c r="K30" s="1"/>
      <c r="L30" s="1"/>
    </row>
    <row r="31" spans="1:13">
      <c r="A31" s="1"/>
      <c r="B31" s="1"/>
      <c r="C31" s="1"/>
      <c r="D31" s="1"/>
      <c r="E31" s="1"/>
      <c r="F31" s="1"/>
      <c r="G31" s="1"/>
      <c r="H31" s="1"/>
      <c r="I31" s="1"/>
      <c r="J31" s="1"/>
      <c r="K31" s="1"/>
      <c r="L31" s="1"/>
    </row>
  </sheetData>
  <dataValidations count="1">
    <dataValidation type="list" sqref="D26:E99" xr:uid="{00000000-0002-0000-0000-000000000000}">
      <formula1>"Setup,Act I,Act II,Act III,Prologue,Epilogue,Other"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5"/>
  <sheetViews>
    <sheetView showGridLines="0" tabSelected="1" workbookViewId="0"/>
  </sheetViews>
  <sheetFormatPr baseColWidth="10" defaultColWidth="8.83203125" defaultRowHeight="15"/>
  <cols>
    <col min="1" max="1" width="8.6640625" customWidth="1"/>
    <col min="2" max="2" width="10.33203125" customWidth="1"/>
    <col min="3" max="3" width="16" customWidth="1"/>
    <col min="4" max="4" width="34" customWidth="1"/>
    <col min="5" max="5" width="42" customWidth="1"/>
    <col min="6" max="6" width="34" customWidth="1"/>
    <col min="7" max="7" width="40.5" customWidth="1"/>
    <col min="8" max="8" width="15.1640625" customWidth="1"/>
    <col min="9" max="9" width="16.6640625" customWidth="1"/>
    <col min="10" max="10" width="46" customWidth="1"/>
    <col min="11" max="11" width="18.1640625" customWidth="1"/>
    <col min="12" max="12" width="38" customWidth="1"/>
    <col min="13" max="13" width="48" customWidth="1"/>
  </cols>
  <sheetData>
    <row r="1" spans="1:13" s="5" customFormat="1" ht="32" customHeight="1">
      <c r="A1" s="13" t="s">
        <v>0</v>
      </c>
      <c r="B1" s="13" t="s">
        <v>1</v>
      </c>
      <c r="C1" s="25" t="s">
        <v>2</v>
      </c>
      <c r="D1" s="13" t="s">
        <v>174</v>
      </c>
      <c r="E1" s="13" t="s">
        <v>175</v>
      </c>
      <c r="F1" s="13" t="s">
        <v>176</v>
      </c>
      <c r="G1" s="13" t="s">
        <v>177</v>
      </c>
      <c r="H1" s="13" t="s">
        <v>178</v>
      </c>
      <c r="I1" s="13" t="s">
        <v>179</v>
      </c>
      <c r="J1" s="13" t="s">
        <v>180</v>
      </c>
      <c r="K1" s="13" t="s">
        <v>181</v>
      </c>
      <c r="L1" s="13" t="s">
        <v>182</v>
      </c>
      <c r="M1" s="13" t="s">
        <v>183</v>
      </c>
    </row>
    <row r="2" spans="1:13" ht="35" customHeight="1">
      <c r="A2" s="5" t="s">
        <v>13</v>
      </c>
      <c r="B2" s="5" t="s">
        <v>97</v>
      </c>
      <c r="C2" s="5">
        <v>1</v>
      </c>
      <c r="D2" s="5" t="s">
        <v>184</v>
      </c>
      <c r="E2" s="5" t="s">
        <v>185</v>
      </c>
      <c r="F2" s="5" t="s">
        <v>186</v>
      </c>
      <c r="G2" s="5" t="s">
        <v>187</v>
      </c>
      <c r="H2" s="5" t="s">
        <v>188</v>
      </c>
      <c r="I2" s="5" t="s">
        <v>189</v>
      </c>
      <c r="J2" s="5" t="s">
        <v>190</v>
      </c>
      <c r="K2" s="5" t="s">
        <v>191</v>
      </c>
      <c r="L2" s="5" t="s">
        <v>192</v>
      </c>
      <c r="M2" s="5" t="s">
        <v>193</v>
      </c>
    </row>
    <row r="3" spans="1:13" ht="26" customHeight="1">
      <c r="A3" s="5" t="s">
        <v>13</v>
      </c>
      <c r="B3" s="5" t="s">
        <v>104</v>
      </c>
      <c r="C3" s="5">
        <v>2</v>
      </c>
      <c r="D3" s="5" t="s">
        <v>194</v>
      </c>
      <c r="E3" s="5" t="s">
        <v>195</v>
      </c>
      <c r="F3" s="5" t="s">
        <v>196</v>
      </c>
      <c r="G3" s="5" t="s">
        <v>197</v>
      </c>
      <c r="H3" s="5" t="s">
        <v>198</v>
      </c>
      <c r="I3" s="5" t="s">
        <v>199</v>
      </c>
      <c r="J3" s="5" t="s">
        <v>200</v>
      </c>
      <c r="K3" s="5" t="s">
        <v>191</v>
      </c>
      <c r="L3" s="5" t="s">
        <v>201</v>
      </c>
      <c r="M3" s="5" t="s">
        <v>202</v>
      </c>
    </row>
    <row r="4" spans="1:13" ht="14" customHeight="1">
      <c r="A4" s="5" t="s">
        <v>13</v>
      </c>
      <c r="B4" s="5" t="s">
        <v>14</v>
      </c>
      <c r="C4" s="5">
        <v>3</v>
      </c>
      <c r="D4" s="5" t="s">
        <v>203</v>
      </c>
      <c r="E4" s="5" t="s">
        <v>204</v>
      </c>
      <c r="F4" s="5" t="s">
        <v>205</v>
      </c>
      <c r="G4" s="5" t="s">
        <v>206</v>
      </c>
      <c r="H4" s="5" t="s">
        <v>188</v>
      </c>
      <c r="I4" s="5" t="s">
        <v>189</v>
      </c>
      <c r="J4" s="5" t="s">
        <v>207</v>
      </c>
      <c r="K4" s="5" t="s">
        <v>191</v>
      </c>
      <c r="L4" s="5" t="s">
        <v>208</v>
      </c>
      <c r="M4" s="5" t="s">
        <v>209</v>
      </c>
    </row>
    <row r="5" spans="1:13" ht="14" customHeight="1">
      <c r="A5" s="5" t="s">
        <v>13</v>
      </c>
      <c r="B5" s="5" t="s">
        <v>24</v>
      </c>
      <c r="C5" s="5">
        <v>4</v>
      </c>
      <c r="D5" s="5" t="s">
        <v>210</v>
      </c>
      <c r="E5" s="5" t="s">
        <v>211</v>
      </c>
      <c r="F5" s="5" t="s">
        <v>212</v>
      </c>
      <c r="G5" s="5" t="s">
        <v>213</v>
      </c>
      <c r="H5" s="5" t="s">
        <v>188</v>
      </c>
      <c r="I5" s="5" t="s">
        <v>189</v>
      </c>
      <c r="J5" s="5" t="s">
        <v>214</v>
      </c>
      <c r="K5" s="5" t="s">
        <v>191</v>
      </c>
      <c r="L5" s="5" t="s">
        <v>215</v>
      </c>
      <c r="M5" s="5" t="s">
        <v>216</v>
      </c>
    </row>
    <row r="6" spans="1:13" ht="14" customHeight="1">
      <c r="A6" s="5" t="s">
        <v>13</v>
      </c>
      <c r="B6" s="5" t="s">
        <v>111</v>
      </c>
      <c r="C6" s="5">
        <v>5</v>
      </c>
      <c r="D6" s="5" t="s">
        <v>217</v>
      </c>
      <c r="E6" s="5" t="s">
        <v>218</v>
      </c>
      <c r="F6" s="5" t="s">
        <v>219</v>
      </c>
      <c r="G6" s="5" t="s">
        <v>220</v>
      </c>
      <c r="H6" s="5" t="s">
        <v>198</v>
      </c>
      <c r="I6" s="5" t="s">
        <v>199</v>
      </c>
      <c r="J6" s="5" t="s">
        <v>221</v>
      </c>
      <c r="K6" s="5" t="s">
        <v>191</v>
      </c>
      <c r="L6" s="5" t="s">
        <v>222</v>
      </c>
      <c r="M6" s="5" t="s">
        <v>223</v>
      </c>
    </row>
    <row r="7" spans="1:13" s="15" customFormat="1" ht="14" customHeight="1">
      <c r="A7" s="14" t="s">
        <v>13</v>
      </c>
      <c r="B7" s="14" t="s">
        <v>29</v>
      </c>
      <c r="C7" s="14">
        <v>6</v>
      </c>
      <c r="D7" s="14" t="s">
        <v>224</v>
      </c>
      <c r="E7" s="14" t="s">
        <v>225</v>
      </c>
      <c r="F7" s="14" t="s">
        <v>212</v>
      </c>
      <c r="G7" s="14" t="s">
        <v>226</v>
      </c>
      <c r="H7" s="14" t="s">
        <v>198</v>
      </c>
      <c r="I7" s="14" t="s">
        <v>199</v>
      </c>
      <c r="J7" s="14" t="s">
        <v>227</v>
      </c>
      <c r="K7" s="14" t="s">
        <v>228</v>
      </c>
      <c r="L7" s="14" t="s">
        <v>229</v>
      </c>
      <c r="M7" s="14" t="s">
        <v>230</v>
      </c>
    </row>
    <row r="8" spans="1:13" ht="30" customHeight="1">
      <c r="A8" s="5" t="s">
        <v>13</v>
      </c>
      <c r="B8" s="5" t="s">
        <v>38</v>
      </c>
      <c r="C8" s="5">
        <v>7</v>
      </c>
      <c r="D8" s="5" t="s">
        <v>231</v>
      </c>
      <c r="E8" s="5" t="s">
        <v>232</v>
      </c>
      <c r="F8" s="5" t="s">
        <v>233</v>
      </c>
      <c r="G8" s="5" t="s">
        <v>234</v>
      </c>
      <c r="H8" s="5" t="s">
        <v>198</v>
      </c>
      <c r="I8" s="5" t="s">
        <v>199</v>
      </c>
      <c r="J8" s="5" t="s">
        <v>235</v>
      </c>
      <c r="K8" s="5" t="s">
        <v>191</v>
      </c>
      <c r="L8" s="5" t="s">
        <v>236</v>
      </c>
      <c r="M8" s="5" t="s">
        <v>237</v>
      </c>
    </row>
    <row r="9" spans="1:13" s="15" customFormat="1" ht="14" customHeight="1">
      <c r="A9" s="14" t="s">
        <v>13</v>
      </c>
      <c r="B9" s="14" t="s">
        <v>44</v>
      </c>
      <c r="C9" s="14">
        <v>8</v>
      </c>
      <c r="D9" s="14" t="s">
        <v>238</v>
      </c>
      <c r="E9" s="14" t="s">
        <v>225</v>
      </c>
      <c r="F9" s="14" t="s">
        <v>212</v>
      </c>
      <c r="G9" s="14" t="s">
        <v>239</v>
      </c>
      <c r="H9" s="14" t="s">
        <v>198</v>
      </c>
      <c r="I9" s="14" t="s">
        <v>199</v>
      </c>
      <c r="J9" s="14" t="s">
        <v>240</v>
      </c>
      <c r="K9" s="14" t="s">
        <v>241</v>
      </c>
      <c r="L9" s="14" t="s">
        <v>242</v>
      </c>
      <c r="M9" s="14" t="s">
        <v>243</v>
      </c>
    </row>
    <row r="10" spans="1:13" ht="14" customHeight="1">
      <c r="A10" s="5" t="s">
        <v>13</v>
      </c>
      <c r="B10" s="5" t="s">
        <v>51</v>
      </c>
      <c r="C10" s="5">
        <v>9</v>
      </c>
      <c r="D10" s="5" t="s">
        <v>244</v>
      </c>
      <c r="E10" s="5" t="s">
        <v>245</v>
      </c>
      <c r="F10" s="5" t="s">
        <v>212</v>
      </c>
      <c r="G10" s="5" t="s">
        <v>213</v>
      </c>
      <c r="H10" s="5" t="s">
        <v>188</v>
      </c>
      <c r="I10" s="5" t="s">
        <v>189</v>
      </c>
      <c r="J10" s="5" t="s">
        <v>246</v>
      </c>
      <c r="K10" s="5" t="s">
        <v>191</v>
      </c>
      <c r="L10" s="5" t="s">
        <v>247</v>
      </c>
      <c r="M10" s="5" t="s">
        <v>248</v>
      </c>
    </row>
    <row r="11" spans="1:13" ht="14" customHeight="1">
      <c r="A11" s="5" t="s">
        <v>13</v>
      </c>
      <c r="B11" s="5" t="s">
        <v>118</v>
      </c>
      <c r="C11" s="5">
        <v>10</v>
      </c>
      <c r="D11" s="5" t="s">
        <v>249</v>
      </c>
      <c r="E11" s="5" t="s">
        <v>250</v>
      </c>
      <c r="F11" s="5" t="s">
        <v>251</v>
      </c>
      <c r="G11" s="5" t="s">
        <v>252</v>
      </c>
      <c r="H11" s="5" t="s">
        <v>198</v>
      </c>
      <c r="I11" s="5" t="s">
        <v>199</v>
      </c>
      <c r="J11" s="5" t="s">
        <v>253</v>
      </c>
      <c r="K11" s="5" t="s">
        <v>191</v>
      </c>
      <c r="L11" s="5" t="s">
        <v>254</v>
      </c>
      <c r="M11" s="5" t="s">
        <v>255</v>
      </c>
    </row>
    <row r="12" spans="1:13" ht="14" customHeight="1">
      <c r="A12" s="5" t="s">
        <v>13</v>
      </c>
      <c r="B12" s="5" t="s">
        <v>57</v>
      </c>
      <c r="C12" s="5">
        <v>11</v>
      </c>
      <c r="D12" s="5" t="s">
        <v>256</v>
      </c>
      <c r="E12" s="5" t="s">
        <v>257</v>
      </c>
      <c r="F12" s="5" t="s">
        <v>212</v>
      </c>
      <c r="G12" s="5" t="s">
        <v>239</v>
      </c>
      <c r="H12" s="5" t="s">
        <v>198</v>
      </c>
      <c r="I12" s="5" t="s">
        <v>258</v>
      </c>
      <c r="J12" s="5" t="s">
        <v>259</v>
      </c>
      <c r="K12" s="5" t="s">
        <v>191</v>
      </c>
      <c r="L12" s="5" t="s">
        <v>260</v>
      </c>
      <c r="M12" s="5" t="s">
        <v>261</v>
      </c>
    </row>
    <row r="13" spans="1:13" ht="14" customHeight="1">
      <c r="A13" s="5" t="s">
        <v>13</v>
      </c>
      <c r="B13" s="5" t="s">
        <v>124</v>
      </c>
      <c r="C13" s="5">
        <v>12</v>
      </c>
      <c r="D13" s="5" t="s">
        <v>262</v>
      </c>
      <c r="E13" s="5" t="s">
        <v>263</v>
      </c>
      <c r="F13" s="5" t="s">
        <v>212</v>
      </c>
      <c r="G13" s="5" t="s">
        <v>239</v>
      </c>
      <c r="H13" s="5" t="s">
        <v>198</v>
      </c>
      <c r="I13" s="5" t="s">
        <v>258</v>
      </c>
      <c r="J13" s="5" t="s">
        <v>264</v>
      </c>
      <c r="K13" s="5" t="s">
        <v>191</v>
      </c>
      <c r="L13" s="5" t="s">
        <v>265</v>
      </c>
      <c r="M13" s="5" t="s">
        <v>266</v>
      </c>
    </row>
    <row r="14" spans="1:13" s="15" customFormat="1" ht="14" customHeight="1">
      <c r="A14" s="14" t="s">
        <v>13</v>
      </c>
      <c r="B14" s="14" t="s">
        <v>64</v>
      </c>
      <c r="C14" s="14">
        <v>13</v>
      </c>
      <c r="D14" s="14" t="s">
        <v>267</v>
      </c>
      <c r="E14" s="14" t="s">
        <v>225</v>
      </c>
      <c r="F14" s="14" t="s">
        <v>268</v>
      </c>
      <c r="G14" s="14" t="s">
        <v>252</v>
      </c>
      <c r="H14" s="14" t="s">
        <v>198</v>
      </c>
      <c r="I14" s="14" t="s">
        <v>199</v>
      </c>
      <c r="J14" s="14" t="s">
        <v>269</v>
      </c>
      <c r="K14" s="14" t="s">
        <v>241</v>
      </c>
      <c r="L14" s="14" t="s">
        <v>270</v>
      </c>
      <c r="M14" s="14" t="s">
        <v>271</v>
      </c>
    </row>
    <row r="15" spans="1:13" ht="30" customHeight="1">
      <c r="A15" s="5" t="s">
        <v>13</v>
      </c>
      <c r="B15" s="5" t="s">
        <v>161</v>
      </c>
      <c r="C15" s="5">
        <v>14</v>
      </c>
      <c r="D15" s="5" t="s">
        <v>272</v>
      </c>
      <c r="E15" s="5" t="s">
        <v>273</v>
      </c>
      <c r="F15" s="5" t="s">
        <v>274</v>
      </c>
      <c r="G15" s="5" t="s">
        <v>252</v>
      </c>
      <c r="H15" s="5" t="s">
        <v>188</v>
      </c>
      <c r="I15" s="5" t="s">
        <v>199</v>
      </c>
      <c r="J15" s="5" t="s">
        <v>275</v>
      </c>
      <c r="K15" s="5" t="s">
        <v>191</v>
      </c>
      <c r="L15" s="5" t="s">
        <v>276</v>
      </c>
      <c r="M15" s="5" t="s">
        <v>277</v>
      </c>
    </row>
    <row r="16" spans="1:13" s="15" customFormat="1" ht="14" customHeight="1">
      <c r="A16" s="14" t="s">
        <v>13</v>
      </c>
      <c r="B16" s="14" t="s">
        <v>149</v>
      </c>
      <c r="C16" s="14">
        <v>15</v>
      </c>
      <c r="D16" s="14" t="s">
        <v>278</v>
      </c>
      <c r="E16" s="14" t="s">
        <v>279</v>
      </c>
      <c r="F16" s="14" t="s">
        <v>212</v>
      </c>
      <c r="G16" s="14" t="s">
        <v>239</v>
      </c>
      <c r="H16" s="14" t="s">
        <v>188</v>
      </c>
      <c r="I16" s="14" t="s">
        <v>280</v>
      </c>
      <c r="J16" s="14" t="s">
        <v>281</v>
      </c>
      <c r="K16" s="14" t="s">
        <v>241</v>
      </c>
      <c r="L16" s="14" t="s">
        <v>282</v>
      </c>
      <c r="M16" s="14" t="s">
        <v>283</v>
      </c>
    </row>
    <row r="17" spans="1:13" ht="14" customHeight="1">
      <c r="A17" s="5" t="s">
        <v>13</v>
      </c>
      <c r="B17" s="5" t="s">
        <v>130</v>
      </c>
      <c r="C17" s="5">
        <v>16</v>
      </c>
      <c r="D17" s="5" t="s">
        <v>284</v>
      </c>
      <c r="E17" s="5" t="s">
        <v>285</v>
      </c>
      <c r="F17" s="5" t="s">
        <v>286</v>
      </c>
      <c r="G17" s="5" t="s">
        <v>287</v>
      </c>
      <c r="H17" s="5" t="s">
        <v>288</v>
      </c>
      <c r="I17" s="5" t="s">
        <v>258</v>
      </c>
      <c r="J17" s="5" t="s">
        <v>289</v>
      </c>
      <c r="K17" s="5" t="s">
        <v>191</v>
      </c>
      <c r="L17" s="5" t="s">
        <v>290</v>
      </c>
      <c r="M17" s="5" t="s">
        <v>291</v>
      </c>
    </row>
    <row r="18" spans="1:13" ht="14" customHeight="1">
      <c r="A18" s="5" t="s">
        <v>13</v>
      </c>
      <c r="B18" s="5" t="s">
        <v>70</v>
      </c>
      <c r="C18" s="5">
        <v>17</v>
      </c>
      <c r="D18" s="5" t="s">
        <v>203</v>
      </c>
      <c r="E18" s="5" t="s">
        <v>292</v>
      </c>
      <c r="F18" s="5" t="s">
        <v>212</v>
      </c>
      <c r="G18" s="5" t="s">
        <v>206</v>
      </c>
      <c r="H18" s="5" t="s">
        <v>188</v>
      </c>
      <c r="I18" s="5" t="s">
        <v>189</v>
      </c>
      <c r="J18" s="5" t="s">
        <v>293</v>
      </c>
      <c r="K18" s="5" t="s">
        <v>191</v>
      </c>
      <c r="L18" s="5" t="s">
        <v>294</v>
      </c>
      <c r="M18" s="5" t="s">
        <v>295</v>
      </c>
    </row>
    <row r="19" spans="1:13" s="15" customFormat="1" ht="14" customHeight="1">
      <c r="A19" s="14" t="s">
        <v>13</v>
      </c>
      <c r="B19" s="14" t="s">
        <v>155</v>
      </c>
      <c r="C19" s="14">
        <v>18</v>
      </c>
      <c r="D19" s="14" t="s">
        <v>296</v>
      </c>
      <c r="E19" s="14" t="s">
        <v>297</v>
      </c>
      <c r="F19" s="14" t="s">
        <v>212</v>
      </c>
      <c r="G19" s="14" t="s">
        <v>298</v>
      </c>
      <c r="H19" s="14" t="s">
        <v>288</v>
      </c>
      <c r="I19" s="14" t="s">
        <v>258</v>
      </c>
      <c r="J19" s="14" t="s">
        <v>299</v>
      </c>
      <c r="K19" s="14" t="s">
        <v>241</v>
      </c>
      <c r="L19" s="14" t="s">
        <v>300</v>
      </c>
      <c r="M19" s="14" t="s">
        <v>301</v>
      </c>
    </row>
    <row r="20" spans="1:13" s="15" customFormat="1" ht="29" customHeight="1">
      <c r="A20" s="14" t="s">
        <v>13</v>
      </c>
      <c r="B20" s="14" t="s">
        <v>137</v>
      </c>
      <c r="C20" s="14">
        <v>19</v>
      </c>
      <c r="D20" s="14" t="s">
        <v>302</v>
      </c>
      <c r="E20" s="14" t="s">
        <v>303</v>
      </c>
      <c r="F20" s="14" t="s">
        <v>212</v>
      </c>
      <c r="G20" s="14" t="s">
        <v>304</v>
      </c>
      <c r="H20" s="14" t="s">
        <v>188</v>
      </c>
      <c r="I20" s="14" t="s">
        <v>258</v>
      </c>
      <c r="J20" s="14" t="s">
        <v>305</v>
      </c>
      <c r="K20" s="14" t="s">
        <v>228</v>
      </c>
      <c r="L20" s="14" t="s">
        <v>306</v>
      </c>
      <c r="M20" s="14" t="s">
        <v>307</v>
      </c>
    </row>
    <row r="21" spans="1:13" ht="32" customHeight="1">
      <c r="A21" s="5" t="s">
        <v>13</v>
      </c>
      <c r="B21" s="5" t="s">
        <v>76</v>
      </c>
      <c r="C21" s="5">
        <v>20</v>
      </c>
      <c r="D21" s="5" t="s">
        <v>308</v>
      </c>
      <c r="E21" s="5" t="s">
        <v>309</v>
      </c>
      <c r="F21" s="5" t="s">
        <v>310</v>
      </c>
      <c r="G21" s="5" t="s">
        <v>311</v>
      </c>
      <c r="H21" s="5" t="s">
        <v>188</v>
      </c>
      <c r="I21" s="5" t="s">
        <v>199</v>
      </c>
      <c r="J21" s="5" t="s">
        <v>312</v>
      </c>
      <c r="K21" s="5" t="s">
        <v>191</v>
      </c>
      <c r="L21" s="5" t="s">
        <v>313</v>
      </c>
      <c r="M21" s="5" t="s">
        <v>314</v>
      </c>
    </row>
    <row r="22" spans="1:13" ht="14" customHeight="1">
      <c r="A22" s="5" t="s">
        <v>13</v>
      </c>
      <c r="B22" s="5" t="s">
        <v>83</v>
      </c>
      <c r="C22" s="5">
        <v>21</v>
      </c>
      <c r="D22" s="5" t="s">
        <v>315</v>
      </c>
      <c r="E22" s="5" t="s">
        <v>225</v>
      </c>
      <c r="F22" s="5" t="s">
        <v>212</v>
      </c>
      <c r="G22" s="5" t="s">
        <v>239</v>
      </c>
      <c r="H22" s="5" t="s">
        <v>198</v>
      </c>
      <c r="I22" s="5" t="s">
        <v>199</v>
      </c>
      <c r="J22" s="5" t="s">
        <v>316</v>
      </c>
      <c r="K22" s="5" t="s">
        <v>191</v>
      </c>
      <c r="L22" s="5" t="s">
        <v>317</v>
      </c>
      <c r="M22" s="5" t="s">
        <v>318</v>
      </c>
    </row>
    <row r="23" spans="1:13" ht="41" customHeight="1">
      <c r="A23" s="5" t="s">
        <v>13</v>
      </c>
      <c r="B23" s="5" t="s">
        <v>166</v>
      </c>
      <c r="C23" s="5">
        <v>22</v>
      </c>
      <c r="D23" s="5" t="s">
        <v>319</v>
      </c>
      <c r="E23" s="5" t="s">
        <v>320</v>
      </c>
      <c r="F23" s="5" t="s">
        <v>321</v>
      </c>
      <c r="G23" s="5" t="s">
        <v>252</v>
      </c>
      <c r="H23" s="5" t="s">
        <v>188</v>
      </c>
      <c r="I23" s="5" t="s">
        <v>199</v>
      </c>
      <c r="J23" s="5" t="s">
        <v>322</v>
      </c>
      <c r="K23" s="5" t="s">
        <v>191</v>
      </c>
      <c r="L23" s="5" t="s">
        <v>323</v>
      </c>
      <c r="M23" s="5" t="s">
        <v>324</v>
      </c>
    </row>
    <row r="24" spans="1:13" s="15" customFormat="1" ht="14" customHeight="1">
      <c r="A24" s="14" t="s">
        <v>13</v>
      </c>
      <c r="B24" s="14" t="s">
        <v>89</v>
      </c>
      <c r="C24" s="14">
        <v>23</v>
      </c>
      <c r="D24" s="14" t="s">
        <v>325</v>
      </c>
      <c r="E24" s="14" t="s">
        <v>326</v>
      </c>
      <c r="F24" s="14" t="s">
        <v>212</v>
      </c>
      <c r="G24" s="14" t="s">
        <v>239</v>
      </c>
      <c r="H24" s="14" t="s">
        <v>198</v>
      </c>
      <c r="I24" s="14" t="s">
        <v>199</v>
      </c>
      <c r="J24" s="14" t="s">
        <v>327</v>
      </c>
      <c r="K24" s="14" t="s">
        <v>241</v>
      </c>
      <c r="L24" s="14" t="s">
        <v>328</v>
      </c>
      <c r="M24" s="14" t="s">
        <v>329</v>
      </c>
    </row>
    <row r="25" spans="1:13" ht="30" customHeight="1">
      <c r="A25" s="5" t="s">
        <v>13</v>
      </c>
      <c r="B25" s="5" t="s">
        <v>143</v>
      </c>
      <c r="C25" s="5">
        <v>24</v>
      </c>
      <c r="D25" s="5" t="s">
        <v>330</v>
      </c>
      <c r="E25" s="5" t="s">
        <v>331</v>
      </c>
      <c r="F25" s="5" t="s">
        <v>332</v>
      </c>
      <c r="G25" s="5" t="s">
        <v>333</v>
      </c>
      <c r="H25" s="5" t="s">
        <v>288</v>
      </c>
      <c r="I25" s="5" t="s">
        <v>258</v>
      </c>
      <c r="J25" s="5" t="s">
        <v>334</v>
      </c>
      <c r="K25" s="5" t="s">
        <v>191</v>
      </c>
      <c r="L25" s="5" t="s">
        <v>335</v>
      </c>
      <c r="M25" s="5" t="s">
        <v>336</v>
      </c>
    </row>
  </sheetData>
  <dataValidations count="4">
    <dataValidation type="list" sqref="G2:G99" xr:uid="{00000000-0002-0000-0100-000000000000}">
      <formula1>"enclosed,semi-open,open,ambiguous"</formula1>
    </dataValidation>
    <dataValidation type="list" sqref="H2:H99" xr:uid="{00000000-0002-0000-0100-000001000000}">
      <formula1>"private,semi-private,public,ambiguous"</formula1>
    </dataValidation>
    <dataValidation type="list" sqref="J2:J99" xr:uid="{00000000-0002-0000-0100-000002000000}">
      <formula1>"high,medium,low"</formula1>
    </dataValidation>
    <dataValidation type="list" sqref="K2:K99" xr:uid="{00000000-0002-0000-0100-000003000000}">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5"/>
  <sheetViews>
    <sheetView showGridLines="0" topLeftCell="H1" workbookViewId="0">
      <selection activeCell="N30" sqref="N30"/>
    </sheetView>
  </sheetViews>
  <sheetFormatPr baseColWidth="10" defaultColWidth="8.83203125" defaultRowHeight="15"/>
  <cols>
    <col min="1" max="1" width="6.5" customWidth="1"/>
    <col min="2" max="2" width="8" customWidth="1"/>
    <col min="3" max="3" width="8.6640625" customWidth="1"/>
    <col min="4" max="4" width="4.83203125" customWidth="1"/>
    <col min="5" max="5" width="10" customWidth="1"/>
    <col min="6" max="6" width="10.83203125" customWidth="1"/>
    <col min="7" max="8" width="10" customWidth="1"/>
    <col min="9" max="9" width="13.1640625" customWidth="1"/>
    <col min="10" max="10" width="10" customWidth="1"/>
    <col min="11" max="11" width="10.6640625" customWidth="1"/>
    <col min="12" max="12" width="14.33203125" customWidth="1"/>
    <col min="13" max="13" width="14.83203125" customWidth="1"/>
    <col min="14" max="14" width="10.6640625" customWidth="1"/>
    <col min="15" max="15" width="12.83203125" customWidth="1"/>
    <col min="16" max="16" width="13.33203125" customWidth="1"/>
    <col min="17" max="17" width="13.5" customWidth="1"/>
    <col min="18" max="18" width="72" customWidth="1"/>
  </cols>
  <sheetData>
    <row r="1" spans="1:18" ht="31" customHeight="1">
      <c r="A1" s="13" t="s">
        <v>0</v>
      </c>
      <c r="B1" s="13" t="s">
        <v>1</v>
      </c>
      <c r="C1" s="13" t="s">
        <v>2</v>
      </c>
      <c r="D1" s="13" t="s">
        <v>3</v>
      </c>
      <c r="E1" s="13" t="s">
        <v>337</v>
      </c>
      <c r="F1" s="13" t="s">
        <v>338</v>
      </c>
      <c r="G1" s="13" t="s">
        <v>339</v>
      </c>
      <c r="H1" s="13" t="s">
        <v>340</v>
      </c>
      <c r="I1" s="13" t="s">
        <v>341</v>
      </c>
      <c r="J1" s="13" t="s">
        <v>342</v>
      </c>
      <c r="K1" s="13" t="s">
        <v>343</v>
      </c>
      <c r="L1" s="13" t="s">
        <v>344</v>
      </c>
      <c r="M1" s="13" t="s">
        <v>345</v>
      </c>
      <c r="N1" s="13" t="s">
        <v>346</v>
      </c>
      <c r="O1" s="13" t="s">
        <v>347</v>
      </c>
      <c r="P1" s="13" t="s">
        <v>348</v>
      </c>
      <c r="Q1" s="13" t="s">
        <v>349</v>
      </c>
      <c r="R1" s="13" t="s">
        <v>350</v>
      </c>
    </row>
    <row r="2" spans="1:18" ht="14" customHeight="1">
      <c r="A2" s="5" t="s">
        <v>13</v>
      </c>
      <c r="B2" s="5" t="s">
        <v>97</v>
      </c>
      <c r="C2" s="5">
        <v>1</v>
      </c>
      <c r="D2" s="5" t="s">
        <v>15</v>
      </c>
      <c r="E2" s="5">
        <v>22.671822786331177</v>
      </c>
      <c r="F2" s="5">
        <v>7.3083847977898335</v>
      </c>
      <c r="G2" s="5">
        <v>4.896266972476786</v>
      </c>
      <c r="H2" s="5">
        <v>16.772095225074075</v>
      </c>
      <c r="I2" s="5">
        <v>1.3030995390222986</v>
      </c>
      <c r="J2" s="5">
        <v>52.263815879821777</v>
      </c>
      <c r="K2" s="5">
        <v>-12.461364042381994</v>
      </c>
      <c r="L2" s="5">
        <v>-11.478617256173031</v>
      </c>
      <c r="M2" s="5">
        <v>-13.425908341803563</v>
      </c>
      <c r="N2" s="5">
        <v>-9.0790891875093997</v>
      </c>
      <c r="O2" s="5">
        <v>-4.7522191890361904</v>
      </c>
      <c r="P2" s="5">
        <v>-0.6482086992394045</v>
      </c>
      <c r="Q2" s="5" t="s">
        <v>351</v>
      </c>
      <c r="R2" s="29" t="s">
        <v>828</v>
      </c>
    </row>
    <row r="3" spans="1:18" s="30" customFormat="1" ht="14" customHeight="1">
      <c r="A3" s="29" t="s">
        <v>13</v>
      </c>
      <c r="B3" s="29" t="s">
        <v>104</v>
      </c>
      <c r="C3" s="29">
        <v>2</v>
      </c>
      <c r="D3" s="29" t="s">
        <v>15</v>
      </c>
      <c r="E3" s="29">
        <v>42.087465700895891</v>
      </c>
      <c r="F3" s="29">
        <v>26.791698041169539</v>
      </c>
      <c r="G3" s="29">
        <v>14.601772225421408</v>
      </c>
      <c r="H3" s="29">
        <v>49.798884184464157</v>
      </c>
      <c r="I3" s="29">
        <v>45.246898072190312</v>
      </c>
      <c r="J3" s="29">
        <v>71.304348987081781</v>
      </c>
      <c r="K3" s="29">
        <v>6.9542788721827193</v>
      </c>
      <c r="L3" s="29">
        <v>8.0046959872066736</v>
      </c>
      <c r="M3" s="29">
        <v>5.6146247654564405</v>
      </c>
      <c r="N3" s="29">
        <v>10.336553727055314</v>
      </c>
      <c r="O3" s="29">
        <v>14.731094054343515</v>
      </c>
      <c r="P3" s="29">
        <v>18.392324408020599</v>
      </c>
      <c r="Q3" s="29" t="s">
        <v>351</v>
      </c>
      <c r="R3" s="29" t="s">
        <v>828</v>
      </c>
    </row>
    <row r="4" spans="1:18" s="30" customFormat="1" ht="14" customHeight="1">
      <c r="A4" s="29" t="s">
        <v>13</v>
      </c>
      <c r="B4" s="29" t="s">
        <v>14</v>
      </c>
      <c r="C4" s="29">
        <v>3</v>
      </c>
      <c r="D4" s="29" t="s">
        <v>15</v>
      </c>
      <c r="E4" s="29">
        <v>40.758270263671875</v>
      </c>
      <c r="F4" s="31">
        <v>21.427051925659178</v>
      </c>
      <c r="G4" s="29">
        <v>9.6238778114318837</v>
      </c>
      <c r="H4" s="29">
        <v>39.269605255126955</v>
      </c>
      <c r="I4" s="29">
        <v>20.672169811320753</v>
      </c>
      <c r="J4" s="29">
        <v>62.666667175292972</v>
      </c>
      <c r="K4" s="29">
        <v>5.6250834349587038</v>
      </c>
      <c r="L4" s="29">
        <v>2.6400498716963128</v>
      </c>
      <c r="M4" s="29">
        <v>-3.0230570463323687</v>
      </c>
      <c r="N4" s="29">
        <v>9.0073582898312985</v>
      </c>
      <c r="O4" s="29">
        <v>9.3664479388331543</v>
      </c>
      <c r="P4" s="29">
        <v>9.7546425962317898</v>
      </c>
      <c r="Q4" s="29" t="s">
        <v>351</v>
      </c>
      <c r="R4" s="29" t="s">
        <v>828</v>
      </c>
    </row>
    <row r="5" spans="1:18" s="30" customFormat="1" ht="14" customHeight="1">
      <c r="A5" s="29" t="s">
        <v>13</v>
      </c>
      <c r="B5" s="29" t="s">
        <v>24</v>
      </c>
      <c r="C5" s="29">
        <v>4</v>
      </c>
      <c r="D5" s="29" t="s">
        <v>15</v>
      </c>
      <c r="E5" s="29">
        <v>35.01518856395375</v>
      </c>
      <c r="F5" s="31">
        <v>19.62087345123291</v>
      </c>
      <c r="G5" s="29">
        <v>11.033206722953103</v>
      </c>
      <c r="H5" s="29">
        <v>39.842353040521793</v>
      </c>
      <c r="I5" s="29">
        <v>17.955470090051456</v>
      </c>
      <c r="J5" s="29">
        <v>76.52406484430486</v>
      </c>
      <c r="K5" s="29">
        <v>-0.11799826475942155</v>
      </c>
      <c r="L5" s="29">
        <v>0.83387139727004467</v>
      </c>
      <c r="M5" s="29">
        <v>10.83434062267952</v>
      </c>
      <c r="N5" s="29">
        <v>3.2642765901131732</v>
      </c>
      <c r="O5" s="29">
        <v>7.5602694644068862</v>
      </c>
      <c r="P5" s="29">
        <v>23.612040265243678</v>
      </c>
      <c r="Q5" s="29" t="s">
        <v>351</v>
      </c>
      <c r="R5" s="29" t="s">
        <v>828</v>
      </c>
    </row>
    <row r="6" spans="1:18" s="32" customFormat="1" ht="14" customHeight="1">
      <c r="A6" s="31" t="s">
        <v>13</v>
      </c>
      <c r="B6" s="31" t="s">
        <v>111</v>
      </c>
      <c r="C6" s="31">
        <v>5</v>
      </c>
      <c r="D6" s="31" t="s">
        <v>30</v>
      </c>
      <c r="E6" s="31">
        <v>22.871158261452951</v>
      </c>
      <c r="F6" s="31">
        <v>15.703279156838692</v>
      </c>
      <c r="G6" s="31">
        <v>10.286945204580984</v>
      </c>
      <c r="H6" s="31">
        <v>34.685775756835938</v>
      </c>
      <c r="I6" s="31">
        <v>12.021835057821056</v>
      </c>
      <c r="J6" s="31">
        <v>60.670462700628462</v>
      </c>
      <c r="K6" s="31">
        <v>-14.59832328646068</v>
      </c>
      <c r="L6" s="31">
        <v>2.3339386463690204</v>
      </c>
      <c r="M6" s="31">
        <v>1.062039503884364</v>
      </c>
      <c r="N6" s="31">
        <v>-8.8797537123876253</v>
      </c>
      <c r="O6" s="31">
        <v>3.6426751700126676</v>
      </c>
      <c r="P6" s="31">
        <v>7.7584381215672806</v>
      </c>
      <c r="Q6" s="31" t="s">
        <v>351</v>
      </c>
      <c r="R6" s="29" t="s">
        <v>828</v>
      </c>
    </row>
    <row r="7" spans="1:18" s="32" customFormat="1" ht="14" customHeight="1">
      <c r="A7" s="31" t="s">
        <v>13</v>
      </c>
      <c r="B7" s="31" t="s">
        <v>29</v>
      </c>
      <c r="C7" s="31">
        <v>6</v>
      </c>
      <c r="D7" s="31" t="s">
        <v>30</v>
      </c>
      <c r="E7" s="31">
        <v>4.1468842029571533</v>
      </c>
      <c r="F7" s="31">
        <v>2.133355074458652</v>
      </c>
      <c r="G7" s="31">
        <v>2.8097688092125788</v>
      </c>
      <c r="H7" s="31">
        <v>7.8586498366461859</v>
      </c>
      <c r="I7" s="31">
        <v>4.6350890985324897E-2</v>
      </c>
      <c r="J7" s="31">
        <v>17.080610593159992</v>
      </c>
      <c r="K7" s="31">
        <v>-33.322597344956478</v>
      </c>
      <c r="L7" s="31">
        <v>-11.235985436011019</v>
      </c>
      <c r="M7" s="31">
        <v>-42.52781260358411</v>
      </c>
      <c r="N7" s="31">
        <v>-27.604027770883423</v>
      </c>
      <c r="O7" s="31">
        <v>-9.9272489123673715</v>
      </c>
      <c r="P7" s="31">
        <v>-35.831413985901193</v>
      </c>
      <c r="Q7" s="31" t="s">
        <v>351</v>
      </c>
      <c r="R7" s="29" t="s">
        <v>828</v>
      </c>
    </row>
    <row r="8" spans="1:18" ht="14" customHeight="1">
      <c r="A8" s="5" t="s">
        <v>13</v>
      </c>
      <c r="B8" s="5" t="s">
        <v>38</v>
      </c>
      <c r="C8" s="5">
        <v>7</v>
      </c>
      <c r="D8" s="5" t="s">
        <v>30</v>
      </c>
      <c r="E8" s="5">
        <v>61.593342590332028</v>
      </c>
      <c r="F8" s="5">
        <v>17.613719902038575</v>
      </c>
      <c r="G8" s="5">
        <v>6.8479676818847652</v>
      </c>
      <c r="H8" s="5">
        <v>27.908253326416016</v>
      </c>
      <c r="I8" s="5">
        <v>8.1649764150943387</v>
      </c>
      <c r="J8" s="5">
        <v>66.180393066406253</v>
      </c>
      <c r="K8" s="5">
        <v>24.123861042418397</v>
      </c>
      <c r="L8" s="5">
        <v>4.2443793915689039</v>
      </c>
      <c r="M8" s="5">
        <v>6.5719698696621549</v>
      </c>
      <c r="N8" s="5">
        <v>29.842430616491452</v>
      </c>
      <c r="O8" s="5">
        <v>5.5531159152125511</v>
      </c>
      <c r="P8" s="5">
        <v>13.268368487345072</v>
      </c>
      <c r="Q8" s="5" t="s">
        <v>351</v>
      </c>
      <c r="R8" s="29" t="s">
        <v>828</v>
      </c>
    </row>
    <row r="9" spans="1:18" ht="14" customHeight="1">
      <c r="A9" s="5" t="s">
        <v>13</v>
      </c>
      <c r="B9" s="5" t="s">
        <v>44</v>
      </c>
      <c r="C9" s="5">
        <v>8</v>
      </c>
      <c r="D9" s="5" t="s">
        <v>30</v>
      </c>
      <c r="E9" s="5">
        <v>35.107569376627602</v>
      </c>
      <c r="F9" s="5">
        <v>9.6262048085530605</v>
      </c>
      <c r="G9" s="5">
        <v>5.4119127591451006</v>
      </c>
      <c r="H9" s="5">
        <v>20.507041931152344</v>
      </c>
      <c r="I9" s="5">
        <v>0</v>
      </c>
      <c r="J9" s="5">
        <v>69.281046549479171</v>
      </c>
      <c r="K9" s="5">
        <v>-2.3619121712860291</v>
      </c>
      <c r="L9" s="5">
        <v>-3.7431357019166107</v>
      </c>
      <c r="M9" s="5">
        <v>9.6726233527350729</v>
      </c>
      <c r="N9" s="5">
        <v>3.3566574027870253</v>
      </c>
      <c r="O9" s="5">
        <v>-2.4343991782729635</v>
      </c>
      <c r="P9" s="5">
        <v>16.36902197041799</v>
      </c>
      <c r="Q9" s="5" t="s">
        <v>351</v>
      </c>
      <c r="R9" s="29" t="s">
        <v>828</v>
      </c>
    </row>
    <row r="10" spans="1:18" s="34" customFormat="1" ht="14" customHeight="1">
      <c r="A10" s="33" t="s">
        <v>13</v>
      </c>
      <c r="B10" s="33" t="s">
        <v>51</v>
      </c>
      <c r="C10" s="33">
        <v>9</v>
      </c>
      <c r="D10" s="33" t="s">
        <v>30</v>
      </c>
      <c r="E10" s="33">
        <v>46.838515690394807</v>
      </c>
      <c r="F10" s="31">
        <v>18.457725388663157</v>
      </c>
      <c r="G10" s="33">
        <v>9.7655110699789862</v>
      </c>
      <c r="H10" s="33">
        <v>37.990796770368306</v>
      </c>
      <c r="I10" s="33">
        <v>15.146605458221025</v>
      </c>
      <c r="J10" s="33">
        <v>76.106444222586489</v>
      </c>
      <c r="K10" s="33">
        <v>9.3690341424811763</v>
      </c>
      <c r="L10" s="33">
        <v>5.0883848781934855</v>
      </c>
      <c r="M10" s="33">
        <v>16.498021025842391</v>
      </c>
      <c r="N10" s="33">
        <v>15.087603716554231</v>
      </c>
      <c r="O10" s="33">
        <v>6.3971214018371327</v>
      </c>
      <c r="P10" s="33">
        <v>23.194419643525308</v>
      </c>
      <c r="Q10" s="33" t="s">
        <v>351</v>
      </c>
      <c r="R10" s="29" t="s">
        <v>828</v>
      </c>
    </row>
    <row r="11" spans="1:18" s="34" customFormat="1" ht="14" customHeight="1">
      <c r="A11" s="33" t="s">
        <v>13</v>
      </c>
      <c r="B11" s="33" t="s">
        <v>118</v>
      </c>
      <c r="C11" s="33">
        <v>10</v>
      </c>
      <c r="D11" s="33" t="s">
        <v>30</v>
      </c>
      <c r="E11" s="33">
        <v>54.259419165717233</v>
      </c>
      <c r="F11" s="33">
        <v>16.681758732265898</v>
      </c>
      <c r="G11" s="33">
        <v>8.0328416029612217</v>
      </c>
      <c r="H11" s="33">
        <v>29.928344557020399</v>
      </c>
      <c r="I11" s="33">
        <v>8.5996855345911953</v>
      </c>
      <c r="J11" s="33">
        <v>68.331582048204211</v>
      </c>
      <c r="K11" s="33">
        <v>16.789937617803602</v>
      </c>
      <c r="L11" s="33">
        <v>3.3124182217962268</v>
      </c>
      <c r="M11" s="33">
        <v>8.7231588514601128</v>
      </c>
      <c r="N11" s="33">
        <v>22.508507191876657</v>
      </c>
      <c r="O11" s="33">
        <v>4.621154745439874</v>
      </c>
      <c r="P11" s="33">
        <v>15.419557469143029</v>
      </c>
      <c r="Q11" s="33" t="s">
        <v>351</v>
      </c>
      <c r="R11" s="29" t="s">
        <v>828</v>
      </c>
    </row>
    <row r="12" spans="1:18" ht="14" customHeight="1">
      <c r="A12" s="5" t="s">
        <v>13</v>
      </c>
      <c r="B12" s="5" t="s">
        <v>57</v>
      </c>
      <c r="C12" s="5">
        <v>11</v>
      </c>
      <c r="D12" s="5" t="s">
        <v>58</v>
      </c>
      <c r="E12" s="5">
        <v>42.429086422098095</v>
      </c>
      <c r="F12" s="5">
        <v>17.318832265919653</v>
      </c>
      <c r="G12" s="5">
        <v>7.8375833774435106</v>
      </c>
      <c r="H12" s="5">
        <v>30.984820333020441</v>
      </c>
      <c r="I12" s="5">
        <v>11.88025577423552</v>
      </c>
      <c r="J12" s="5">
        <v>74.469237360461008</v>
      </c>
      <c r="K12" s="5">
        <v>17.309246850093448</v>
      </c>
      <c r="L12" s="5">
        <v>6.9599367399746725</v>
      </c>
      <c r="M12" s="5">
        <v>28.574693451419606</v>
      </c>
      <c r="N12" s="5">
        <v>10.678174448257518</v>
      </c>
      <c r="O12" s="5">
        <v>5.258228279093629</v>
      </c>
      <c r="P12" s="5">
        <v>21.557212781399826</v>
      </c>
      <c r="Q12" s="5" t="s">
        <v>351</v>
      </c>
      <c r="R12" s="29" t="s">
        <v>828</v>
      </c>
    </row>
    <row r="13" spans="1:18" s="32" customFormat="1" ht="14" customHeight="1">
      <c r="A13" s="31" t="s">
        <v>13</v>
      </c>
      <c r="B13" s="31" t="s">
        <v>124</v>
      </c>
      <c r="C13" s="31">
        <v>12</v>
      </c>
      <c r="D13" s="31" t="s">
        <v>58</v>
      </c>
      <c r="E13" s="31">
        <v>44.899320411682126</v>
      </c>
      <c r="F13" s="31">
        <v>19.92962217330933</v>
      </c>
      <c r="G13" s="31">
        <v>10.546636748313905</v>
      </c>
      <c r="H13" s="31">
        <v>39.952480602264401</v>
      </c>
      <c r="I13" s="31">
        <v>21.973127948113209</v>
      </c>
      <c r="J13" s="31">
        <v>72.980393028259272</v>
      </c>
      <c r="K13" s="31">
        <v>19.779480839677479</v>
      </c>
      <c r="L13" s="31">
        <v>9.5707266473643493</v>
      </c>
      <c r="M13" s="31">
        <v>27.085849119217869</v>
      </c>
      <c r="N13" s="31">
        <v>13.14840843784155</v>
      </c>
      <c r="O13" s="31">
        <v>7.8690181864833058</v>
      </c>
      <c r="P13" s="31">
        <v>20.06836844919809</v>
      </c>
      <c r="Q13" s="31" t="s">
        <v>351</v>
      </c>
      <c r="R13" s="29" t="s">
        <v>828</v>
      </c>
    </row>
    <row r="14" spans="1:18" ht="14" customHeight="1">
      <c r="A14" s="5" t="s">
        <v>13</v>
      </c>
      <c r="B14" s="5" t="s">
        <v>64</v>
      </c>
      <c r="C14" s="5">
        <v>13</v>
      </c>
      <c r="D14" s="5" t="s">
        <v>58</v>
      </c>
      <c r="E14" s="5">
        <v>24.224225997924805</v>
      </c>
      <c r="F14" s="5">
        <v>14.552561283111572</v>
      </c>
      <c r="G14" s="5">
        <v>4.9600756168365479</v>
      </c>
      <c r="H14" s="5">
        <v>21.886021614074707</v>
      </c>
      <c r="I14" s="5">
        <v>6.3826650943396193E-2</v>
      </c>
      <c r="J14" s="5">
        <v>44.509803771972656</v>
      </c>
      <c r="K14" s="5">
        <v>-0.89561357407984232</v>
      </c>
      <c r="L14" s="5">
        <v>4.1936657571665918</v>
      </c>
      <c r="M14" s="5">
        <v>-1.3847401370687464</v>
      </c>
      <c r="N14" s="5">
        <v>-7.5266859759157718</v>
      </c>
      <c r="O14" s="5">
        <v>2.4919572962855483</v>
      </c>
      <c r="P14" s="5">
        <v>-8.4022208070885256</v>
      </c>
      <c r="Q14" s="5" t="s">
        <v>351</v>
      </c>
      <c r="R14" s="29" t="s">
        <v>828</v>
      </c>
    </row>
    <row r="15" spans="1:18" s="34" customFormat="1" ht="14" customHeight="1">
      <c r="A15" s="33" t="s">
        <v>13</v>
      </c>
      <c r="B15" s="33" t="s">
        <v>161</v>
      </c>
      <c r="C15" s="33">
        <v>14</v>
      </c>
      <c r="D15" s="33" t="s">
        <v>58</v>
      </c>
      <c r="E15" s="33">
        <v>22.301191670554022</v>
      </c>
      <c r="F15" s="33">
        <v>6.0922880683626444</v>
      </c>
      <c r="G15" s="33">
        <v>3.5001193455287387</v>
      </c>
      <c r="H15" s="33">
        <v>12.073383740016393</v>
      </c>
      <c r="I15" s="33">
        <v>4.0368092991913698E-2</v>
      </c>
      <c r="J15" s="33">
        <v>45.602242061070037</v>
      </c>
      <c r="K15" s="33">
        <v>-2.8186479014506247</v>
      </c>
      <c r="L15" s="33">
        <v>-4.2666074575823361</v>
      </c>
      <c r="M15" s="33">
        <v>-0.29230184797136616</v>
      </c>
      <c r="N15" s="33">
        <v>-9.4497203032865542</v>
      </c>
      <c r="O15" s="33">
        <v>-5.9683159184633796</v>
      </c>
      <c r="P15" s="33">
        <v>-7.3097825179911453</v>
      </c>
      <c r="Q15" s="33" t="s">
        <v>351</v>
      </c>
      <c r="R15" s="29" t="s">
        <v>828</v>
      </c>
    </row>
    <row r="16" spans="1:18" ht="14" customHeight="1">
      <c r="A16" s="5" t="s">
        <v>13</v>
      </c>
      <c r="B16" s="5" t="s">
        <v>149</v>
      </c>
      <c r="C16" s="5">
        <v>15</v>
      </c>
      <c r="D16" s="5" t="s">
        <v>58</v>
      </c>
      <c r="E16" s="5">
        <v>5.0478065212567644</v>
      </c>
      <c r="F16" s="5">
        <v>3.0584656397501626</v>
      </c>
      <c r="G16" s="5">
        <v>2.4821648597717285</v>
      </c>
      <c r="H16" s="5">
        <v>8.3108762105305996</v>
      </c>
      <c r="I16" s="5">
        <v>3.4394654088049999E-3</v>
      </c>
      <c r="J16" s="5">
        <v>15.882353583971661</v>
      </c>
      <c r="K16" s="5">
        <v>-20.072033050747883</v>
      </c>
      <c r="L16" s="5">
        <v>-7.3004298861948183</v>
      </c>
      <c r="M16" s="5">
        <v>-30.012190325069742</v>
      </c>
      <c r="N16" s="5">
        <v>-26.703105452583813</v>
      </c>
      <c r="O16" s="5">
        <v>-9.0021383470758618</v>
      </c>
      <c r="P16" s="5">
        <v>-37.029670995089518</v>
      </c>
      <c r="Q16" s="5" t="s">
        <v>351</v>
      </c>
      <c r="R16" s="29" t="s">
        <v>828</v>
      </c>
    </row>
    <row r="17" spans="1:18" ht="14" customHeight="1">
      <c r="A17" s="5" t="s">
        <v>13</v>
      </c>
      <c r="B17" s="5" t="s">
        <v>130</v>
      </c>
      <c r="C17" s="5">
        <v>16</v>
      </c>
      <c r="D17" s="5" t="s">
        <v>58</v>
      </c>
      <c r="E17" s="5">
        <v>28.077324371337891</v>
      </c>
      <c r="F17" s="5">
        <v>8.5089090347290046</v>
      </c>
      <c r="G17" s="5">
        <v>5.5234540557861331</v>
      </c>
      <c r="H17" s="5">
        <v>19.162238731384281</v>
      </c>
      <c r="I17" s="5">
        <v>1.7968278301886793</v>
      </c>
      <c r="J17" s="5">
        <v>61.160784759521484</v>
      </c>
      <c r="K17" s="5">
        <v>2.957484799333244</v>
      </c>
      <c r="L17" s="5">
        <v>-1.8499864912159758</v>
      </c>
      <c r="M17" s="5">
        <v>15.266240850480081</v>
      </c>
      <c r="N17" s="5">
        <v>-3.6735876025026855</v>
      </c>
      <c r="O17" s="5">
        <v>-3.5516949520970194</v>
      </c>
      <c r="P17" s="5">
        <v>8.2487601804603017</v>
      </c>
      <c r="Q17" s="5" t="s">
        <v>351</v>
      </c>
      <c r="R17" s="29" t="s">
        <v>828</v>
      </c>
    </row>
    <row r="18" spans="1:18" ht="14" customHeight="1">
      <c r="A18" s="5" t="s">
        <v>13</v>
      </c>
      <c r="B18" s="5" t="s">
        <v>70</v>
      </c>
      <c r="C18" s="5">
        <v>17</v>
      </c>
      <c r="D18" s="5" t="s">
        <v>58</v>
      </c>
      <c r="E18" s="5">
        <v>45.742927551269531</v>
      </c>
      <c r="F18" s="5">
        <v>17.282727813720705</v>
      </c>
      <c r="G18" s="5">
        <v>5.0939497947692871</v>
      </c>
      <c r="H18" s="5">
        <v>25.666498184204102</v>
      </c>
      <c r="I18" s="5">
        <v>2.7709905660377361</v>
      </c>
      <c r="J18" s="5">
        <v>60.313726806640624</v>
      </c>
      <c r="K18" s="5">
        <v>20.623087979264884</v>
      </c>
      <c r="L18" s="5">
        <v>6.9238322877757241</v>
      </c>
      <c r="M18" s="5">
        <v>14.419182897599221</v>
      </c>
      <c r="N18" s="5">
        <v>13.992015577428955</v>
      </c>
      <c r="O18" s="5">
        <v>5.2221238268946806</v>
      </c>
      <c r="P18" s="5">
        <v>7.4017022275794417</v>
      </c>
      <c r="Q18" s="5" t="s">
        <v>351</v>
      </c>
      <c r="R18" s="29" t="s">
        <v>828</v>
      </c>
    </row>
    <row r="19" spans="1:18" s="32" customFormat="1" ht="14" customHeight="1">
      <c r="A19" s="31" t="s">
        <v>13</v>
      </c>
      <c r="B19" s="31" t="s">
        <v>155</v>
      </c>
      <c r="C19" s="31">
        <v>18</v>
      </c>
      <c r="D19" s="31" t="s">
        <v>58</v>
      </c>
      <c r="E19" s="31">
        <v>7.3417400181293484</v>
      </c>
      <c r="F19" s="31">
        <v>3.6571831881999968</v>
      </c>
      <c r="G19" s="31">
        <v>2.330053335428238</v>
      </c>
      <c r="H19" s="31">
        <v>7.7254847168922423</v>
      </c>
      <c r="I19" s="31">
        <v>1.17998231132075E-2</v>
      </c>
      <c r="J19" s="31">
        <v>17.90196110010147</v>
      </c>
      <c r="K19" s="31">
        <v>-17.7780995538753</v>
      </c>
      <c r="L19" s="31">
        <v>-6.7017123377449836</v>
      </c>
      <c r="M19" s="31">
        <v>-27.992582808939932</v>
      </c>
      <c r="N19" s="31">
        <v>-24.40917195571123</v>
      </c>
      <c r="O19" s="31">
        <v>-8.4034207986260263</v>
      </c>
      <c r="P19" s="31">
        <v>-35.010063478959708</v>
      </c>
      <c r="Q19" s="31" t="s">
        <v>351</v>
      </c>
      <c r="R19" s="29" t="s">
        <v>828</v>
      </c>
    </row>
    <row r="20" spans="1:18" s="32" customFormat="1" ht="14" customHeight="1">
      <c r="A20" s="31" t="s">
        <v>13</v>
      </c>
      <c r="B20" s="31" t="s">
        <v>137</v>
      </c>
      <c r="C20" s="31">
        <v>19</v>
      </c>
      <c r="D20" s="31" t="s">
        <v>58</v>
      </c>
      <c r="E20" s="31">
        <v>6.0149331837892532</v>
      </c>
      <c r="F20" s="31">
        <v>2.8294702664017679</v>
      </c>
      <c r="G20" s="31">
        <v>3.0565792314708231</v>
      </c>
      <c r="H20" s="31">
        <v>9.5096770226955396</v>
      </c>
      <c r="I20" s="31">
        <v>1.4887971698113E-3</v>
      </c>
      <c r="J20" s="31">
        <v>20.230392709374428</v>
      </c>
      <c r="K20" s="31">
        <v>-19.104906388215394</v>
      </c>
      <c r="L20" s="31">
        <v>-7.5294252595432125</v>
      </c>
      <c r="M20" s="31">
        <v>-25.664151199666975</v>
      </c>
      <c r="N20" s="31">
        <v>-25.735978790051323</v>
      </c>
      <c r="O20" s="31">
        <v>-9.2311337204242569</v>
      </c>
      <c r="P20" s="31">
        <v>-32.681631869686754</v>
      </c>
      <c r="Q20" s="31" t="s">
        <v>351</v>
      </c>
      <c r="R20" s="29" t="s">
        <v>828</v>
      </c>
    </row>
    <row r="21" spans="1:18" ht="14" customHeight="1">
      <c r="A21" s="5" t="s">
        <v>13</v>
      </c>
      <c r="B21" s="5" t="s">
        <v>76</v>
      </c>
      <c r="C21" s="5">
        <v>20</v>
      </c>
      <c r="D21" s="5" t="s">
        <v>77</v>
      </c>
      <c r="E21" s="5">
        <v>21.025454171498616</v>
      </c>
      <c r="F21" s="5">
        <v>6.7325364192326864</v>
      </c>
      <c r="G21" s="5">
        <v>4.0595804691314701</v>
      </c>
      <c r="H21" s="5">
        <v>14.405204073588054</v>
      </c>
      <c r="I21" s="5">
        <v>0.25524764150943391</v>
      </c>
      <c r="J21" s="5">
        <v>54.418301010131835</v>
      </c>
      <c r="K21" s="5">
        <v>-13.093284752860903</v>
      </c>
      <c r="L21" s="5">
        <v>-1.4395405150973604</v>
      </c>
      <c r="M21" s="5">
        <v>7.1326492803058912</v>
      </c>
      <c r="N21" s="5">
        <v>-10.72545780234196</v>
      </c>
      <c r="O21" s="5">
        <v>-5.3280675675933376</v>
      </c>
      <c r="P21" s="5">
        <v>1.5062764310706527</v>
      </c>
      <c r="Q21" s="5" t="s">
        <v>351</v>
      </c>
      <c r="R21" s="29" t="s">
        <v>828</v>
      </c>
    </row>
    <row r="22" spans="1:18" ht="14" customHeight="1">
      <c r="A22" s="5" t="s">
        <v>13</v>
      </c>
      <c r="B22" s="5" t="s">
        <v>83</v>
      </c>
      <c r="C22" s="5">
        <v>21</v>
      </c>
      <c r="D22" s="5" t="s">
        <v>77</v>
      </c>
      <c r="E22" s="5">
        <v>61.070974985758461</v>
      </c>
      <c r="F22" s="5">
        <v>16.821126461029053</v>
      </c>
      <c r="G22" s="5">
        <v>6.0107868115107221</v>
      </c>
      <c r="H22" s="5">
        <v>27.965352376302079</v>
      </c>
      <c r="I22" s="5">
        <v>9.7220420597484285</v>
      </c>
      <c r="J22" s="5">
        <v>56.339869181315102</v>
      </c>
      <c r="K22" s="5">
        <v>26.952236061398942</v>
      </c>
      <c r="L22" s="5">
        <v>8.649049526699006</v>
      </c>
      <c r="M22" s="5">
        <v>9.0542174514891585</v>
      </c>
      <c r="N22" s="5">
        <v>29.320063011917885</v>
      </c>
      <c r="O22" s="5">
        <v>4.7605224742030288</v>
      </c>
      <c r="P22" s="5">
        <v>3.42784460225392</v>
      </c>
      <c r="Q22" s="5" t="s">
        <v>351</v>
      </c>
      <c r="R22" s="29" t="s">
        <v>828</v>
      </c>
    </row>
    <row r="23" spans="1:18" s="34" customFormat="1" ht="14" customHeight="1">
      <c r="A23" s="33" t="s">
        <v>13</v>
      </c>
      <c r="B23" s="33" t="s">
        <v>166</v>
      </c>
      <c r="C23" s="33">
        <v>22</v>
      </c>
      <c r="D23" s="33" t="s">
        <v>77</v>
      </c>
      <c r="E23" s="33">
        <v>9.3185372246636273</v>
      </c>
      <c r="F23" s="33">
        <v>4.9524499707751808</v>
      </c>
      <c r="G23" s="33">
        <v>3.9014562500847711</v>
      </c>
      <c r="H23" s="33">
        <v>12.504042821460301</v>
      </c>
      <c r="I23" s="33">
        <v>0.14386137316561839</v>
      </c>
      <c r="J23" s="33">
        <v>27.285403304629856</v>
      </c>
      <c r="K23" s="33">
        <v>-24.80020169969589</v>
      </c>
      <c r="L23" s="33">
        <v>-3.219626963554866</v>
      </c>
      <c r="M23" s="33">
        <v>-20.000248425196087</v>
      </c>
      <c r="N23" s="33">
        <v>-22.432374749176951</v>
      </c>
      <c r="O23" s="33">
        <v>-7.1081540160508432</v>
      </c>
      <c r="P23" s="33">
        <v>-25.626621274431326</v>
      </c>
      <c r="Q23" s="33" t="s">
        <v>351</v>
      </c>
      <c r="R23" s="29" t="s">
        <v>828</v>
      </c>
    </row>
    <row r="24" spans="1:18" s="32" customFormat="1" ht="14" customHeight="1">
      <c r="A24" s="31" t="s">
        <v>13</v>
      </c>
      <c r="B24" s="31" t="s">
        <v>89</v>
      </c>
      <c r="C24" s="31">
        <v>23</v>
      </c>
      <c r="D24" s="31" t="s">
        <v>77</v>
      </c>
      <c r="E24" s="31">
        <v>56.733985900878906</v>
      </c>
      <c r="F24" s="31">
        <v>6.4261236190795898</v>
      </c>
      <c r="G24" s="31">
        <v>1.174458384513855</v>
      </c>
      <c r="H24" s="31">
        <v>8.0622577667236328</v>
      </c>
      <c r="I24" s="31">
        <v>0</v>
      </c>
      <c r="J24" s="31">
        <v>48.431369781494141</v>
      </c>
      <c r="K24" s="31">
        <v>22.615246976519387</v>
      </c>
      <c r="L24" s="31">
        <v>-1.7459533152504569</v>
      </c>
      <c r="M24" s="31">
        <v>1.1457180516681973</v>
      </c>
      <c r="N24" s="31">
        <v>24.98307392703833</v>
      </c>
      <c r="O24" s="31">
        <v>-5.6344803677464341</v>
      </c>
      <c r="P24" s="31">
        <v>-4.4806547975670412</v>
      </c>
      <c r="Q24" s="31" t="s">
        <v>351</v>
      </c>
      <c r="R24" s="29" t="s">
        <v>828</v>
      </c>
    </row>
    <row r="25" spans="1:18" ht="14" customHeight="1">
      <c r="A25" s="5" t="s">
        <v>13</v>
      </c>
      <c r="B25" s="5" t="s">
        <v>143</v>
      </c>
      <c r="C25" s="5">
        <v>24</v>
      </c>
      <c r="D25" s="5" t="s">
        <v>77</v>
      </c>
      <c r="E25" s="5">
        <v>22.444742338997976</v>
      </c>
      <c r="F25" s="5">
        <v>5.9281482015337259</v>
      </c>
      <c r="G25" s="5">
        <v>5.0719195434025357</v>
      </c>
      <c r="H25" s="5">
        <v>15.870055107843308</v>
      </c>
      <c r="I25" s="5">
        <v>1.0725235849056605</v>
      </c>
      <c r="J25" s="5">
        <v>49.95331537155878</v>
      </c>
      <c r="K25" s="5">
        <v>-11.673996585361543</v>
      </c>
      <c r="L25" s="5">
        <v>-2.2439287327963209</v>
      </c>
      <c r="M25" s="5">
        <v>2.6676636417328368</v>
      </c>
      <c r="N25" s="5">
        <v>-9.3061696348426004</v>
      </c>
      <c r="O25" s="5">
        <v>-6.1324557852922981</v>
      </c>
      <c r="P25" s="5">
        <v>-2.9587092075024017</v>
      </c>
      <c r="Q25" s="5" t="s">
        <v>351</v>
      </c>
      <c r="R25" s="29" t="s">
        <v>828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1"/>
  <sheetViews>
    <sheetView workbookViewId="0">
      <selection activeCell="D15" sqref="D15"/>
    </sheetView>
  </sheetViews>
  <sheetFormatPr baseColWidth="10" defaultColWidth="8.83203125" defaultRowHeight="15"/>
  <cols>
    <col min="1" max="2" width="10" customWidth="1"/>
    <col min="3" max="3" width="36" customWidth="1"/>
    <col min="4" max="4" width="36" style="32" customWidth="1"/>
    <col min="5" max="6" width="36" customWidth="1"/>
    <col min="7" max="7" width="36" style="19" customWidth="1"/>
    <col min="8" max="8" width="36" customWidth="1"/>
    <col min="9" max="10" width="18" customWidth="1"/>
    <col min="11" max="11" width="37.5" customWidth="1"/>
  </cols>
  <sheetData>
    <row r="1" spans="1:11" ht="84" customHeight="1">
      <c r="A1" s="16" t="s">
        <v>0</v>
      </c>
      <c r="B1" s="16" t="s">
        <v>1</v>
      </c>
      <c r="C1" s="16" t="s">
        <v>352</v>
      </c>
      <c r="D1" s="46" t="s">
        <v>353</v>
      </c>
      <c r="E1" s="16" t="s">
        <v>354</v>
      </c>
      <c r="F1" s="16" t="s">
        <v>355</v>
      </c>
      <c r="G1" s="16" t="s">
        <v>356</v>
      </c>
      <c r="H1" s="16" t="s">
        <v>357</v>
      </c>
      <c r="I1" s="16" t="s">
        <v>358</v>
      </c>
      <c r="J1" s="16" t="s">
        <v>359</v>
      </c>
      <c r="K1" s="16" t="s">
        <v>360</v>
      </c>
    </row>
    <row r="2" spans="1:11" ht="80">
      <c r="A2" s="1" t="s">
        <v>13</v>
      </c>
      <c r="B2" s="1" t="s">
        <v>97</v>
      </c>
      <c r="C2" s="1" t="s">
        <v>461</v>
      </c>
      <c r="D2" s="45" t="s">
        <v>462</v>
      </c>
      <c r="E2" s="1" t="s">
        <v>463</v>
      </c>
      <c r="F2" s="1" t="s">
        <v>464</v>
      </c>
      <c r="G2" s="18" t="s">
        <v>465</v>
      </c>
      <c r="H2" s="1" t="s">
        <v>466</v>
      </c>
      <c r="I2" s="1" t="s">
        <v>467</v>
      </c>
      <c r="J2" s="1" t="s">
        <v>468</v>
      </c>
      <c r="K2" s="1" t="s">
        <v>469</v>
      </c>
    </row>
    <row r="3" spans="1:11" ht="96">
      <c r="A3" s="1" t="s">
        <v>13</v>
      </c>
      <c r="B3" s="1" t="s">
        <v>104</v>
      </c>
      <c r="C3" s="1" t="s">
        <v>470</v>
      </c>
      <c r="D3" s="45" t="s">
        <v>471</v>
      </c>
      <c r="E3" s="1" t="s">
        <v>472</v>
      </c>
      <c r="F3" s="1" t="s">
        <v>464</v>
      </c>
      <c r="G3" s="18" t="s">
        <v>473</v>
      </c>
      <c r="H3" s="1" t="s">
        <v>474</v>
      </c>
      <c r="I3" s="1" t="s">
        <v>467</v>
      </c>
      <c r="J3" s="1" t="s">
        <v>475</v>
      </c>
      <c r="K3" s="1" t="s">
        <v>476</v>
      </c>
    </row>
    <row r="4" spans="1:11" ht="80">
      <c r="A4" s="1" t="s">
        <v>13</v>
      </c>
      <c r="B4" s="1" t="s">
        <v>14</v>
      </c>
      <c r="C4" s="1" t="s">
        <v>477</v>
      </c>
      <c r="D4" s="45" t="s">
        <v>478</v>
      </c>
      <c r="E4" s="1" t="s">
        <v>479</v>
      </c>
      <c r="F4" s="1" t="s">
        <v>464</v>
      </c>
      <c r="G4" s="18" t="s">
        <v>480</v>
      </c>
      <c r="H4" s="1" t="s">
        <v>481</v>
      </c>
      <c r="I4" s="1" t="s">
        <v>467</v>
      </c>
      <c r="J4" s="1" t="s">
        <v>475</v>
      </c>
      <c r="K4" s="1" t="s">
        <v>482</v>
      </c>
    </row>
    <row r="5" spans="1:11" ht="96">
      <c r="A5" s="1" t="s">
        <v>13</v>
      </c>
      <c r="B5" s="1" t="s">
        <v>24</v>
      </c>
      <c r="C5" s="1" t="s">
        <v>483</v>
      </c>
      <c r="D5" s="45" t="s">
        <v>484</v>
      </c>
      <c r="E5" s="1" t="s">
        <v>485</v>
      </c>
      <c r="F5" s="1" t="s">
        <v>486</v>
      </c>
      <c r="G5" s="18" t="s">
        <v>487</v>
      </c>
      <c r="H5" s="1" t="s">
        <v>488</v>
      </c>
      <c r="I5" s="1" t="s">
        <v>467</v>
      </c>
      <c r="J5" s="1" t="s">
        <v>489</v>
      </c>
      <c r="K5" s="1" t="s">
        <v>490</v>
      </c>
    </row>
    <row r="6" spans="1:11" ht="80">
      <c r="A6" s="1" t="s">
        <v>13</v>
      </c>
      <c r="B6" s="1" t="s">
        <v>111</v>
      </c>
      <c r="C6" s="1" t="s">
        <v>491</v>
      </c>
      <c r="D6" s="45" t="s">
        <v>492</v>
      </c>
      <c r="E6" s="1" t="s">
        <v>493</v>
      </c>
      <c r="F6" s="1" t="s">
        <v>494</v>
      </c>
      <c r="G6" s="18" t="s">
        <v>495</v>
      </c>
      <c r="H6" s="1" t="s">
        <v>496</v>
      </c>
      <c r="I6" s="1" t="s">
        <v>467</v>
      </c>
      <c r="J6" s="1" t="s">
        <v>475</v>
      </c>
      <c r="K6" s="1" t="s">
        <v>497</v>
      </c>
    </row>
    <row r="7" spans="1:11" ht="80">
      <c r="A7" s="1" t="s">
        <v>13</v>
      </c>
      <c r="B7" s="1" t="s">
        <v>29</v>
      </c>
      <c r="C7" s="1" t="s">
        <v>498</v>
      </c>
      <c r="D7" s="45" t="s">
        <v>499</v>
      </c>
      <c r="E7" s="1" t="s">
        <v>500</v>
      </c>
      <c r="F7" s="1" t="s">
        <v>501</v>
      </c>
      <c r="G7" s="18" t="s">
        <v>502</v>
      </c>
      <c r="H7" s="1" t="s">
        <v>503</v>
      </c>
      <c r="I7" s="1" t="s">
        <v>467</v>
      </c>
      <c r="J7" s="1" t="s">
        <v>475</v>
      </c>
      <c r="K7" s="1" t="s">
        <v>504</v>
      </c>
    </row>
    <row r="8" spans="1:11" ht="96">
      <c r="A8" s="1" t="s">
        <v>13</v>
      </c>
      <c r="B8" s="1" t="s">
        <v>38</v>
      </c>
      <c r="C8" s="1" t="s">
        <v>505</v>
      </c>
      <c r="D8" s="45" t="s">
        <v>471</v>
      </c>
      <c r="E8" s="1" t="s">
        <v>506</v>
      </c>
      <c r="F8" s="1" t="s">
        <v>464</v>
      </c>
      <c r="G8" s="18" t="s">
        <v>507</v>
      </c>
      <c r="H8" s="1" t="s">
        <v>508</v>
      </c>
      <c r="I8" s="1" t="s">
        <v>467</v>
      </c>
      <c r="J8" s="1" t="s">
        <v>475</v>
      </c>
      <c r="K8" s="1" t="s">
        <v>509</v>
      </c>
    </row>
    <row r="9" spans="1:11" ht="96">
      <c r="A9" s="1" t="s">
        <v>13</v>
      </c>
      <c r="B9" s="1" t="s">
        <v>44</v>
      </c>
      <c r="C9" s="1" t="s">
        <v>510</v>
      </c>
      <c r="D9" s="45" t="s">
        <v>499</v>
      </c>
      <c r="E9" s="1" t="s">
        <v>511</v>
      </c>
      <c r="F9" s="1" t="s">
        <v>486</v>
      </c>
      <c r="G9" s="18" t="s">
        <v>512</v>
      </c>
      <c r="H9" s="1" t="s">
        <v>513</v>
      </c>
      <c r="I9" s="1" t="s">
        <v>467</v>
      </c>
      <c r="J9" s="1" t="s">
        <v>489</v>
      </c>
      <c r="K9" s="1" t="s">
        <v>514</v>
      </c>
    </row>
    <row r="10" spans="1:11" ht="96">
      <c r="A10" s="1" t="s">
        <v>13</v>
      </c>
      <c r="B10" s="1" t="s">
        <v>51</v>
      </c>
      <c r="C10" s="1" t="s">
        <v>515</v>
      </c>
      <c r="D10" s="45" t="s">
        <v>484</v>
      </c>
      <c r="E10" s="1" t="s">
        <v>516</v>
      </c>
      <c r="F10" s="1" t="s">
        <v>486</v>
      </c>
      <c r="G10" s="18" t="s">
        <v>517</v>
      </c>
      <c r="H10" s="1" t="s">
        <v>518</v>
      </c>
      <c r="I10" s="1" t="s">
        <v>467</v>
      </c>
      <c r="J10" s="1" t="s">
        <v>475</v>
      </c>
      <c r="K10" s="1" t="s">
        <v>519</v>
      </c>
    </row>
    <row r="11" spans="1:11" ht="112">
      <c r="A11" s="1" t="s">
        <v>13</v>
      </c>
      <c r="B11" s="1" t="s">
        <v>118</v>
      </c>
      <c r="C11" s="1" t="s">
        <v>520</v>
      </c>
      <c r="D11" s="45" t="s">
        <v>492</v>
      </c>
      <c r="E11" s="1" t="s">
        <v>521</v>
      </c>
      <c r="F11" s="1" t="s">
        <v>494</v>
      </c>
      <c r="G11" s="18" t="s">
        <v>522</v>
      </c>
      <c r="H11" s="1" t="s">
        <v>523</v>
      </c>
      <c r="I11" s="1" t="s">
        <v>467</v>
      </c>
      <c r="J11" s="1" t="s">
        <v>475</v>
      </c>
      <c r="K11" s="1" t="s">
        <v>524</v>
      </c>
    </row>
    <row r="12" spans="1:11" ht="96">
      <c r="A12" s="1" t="s">
        <v>13</v>
      </c>
      <c r="B12" s="1" t="s">
        <v>57</v>
      </c>
      <c r="C12" s="1" t="s">
        <v>525</v>
      </c>
      <c r="D12" s="45" t="s">
        <v>526</v>
      </c>
      <c r="E12" s="1" t="s">
        <v>527</v>
      </c>
      <c r="F12" s="1" t="s">
        <v>464</v>
      </c>
      <c r="G12" s="18" t="s">
        <v>528</v>
      </c>
      <c r="H12" s="1" t="s">
        <v>529</v>
      </c>
      <c r="I12" s="1" t="s">
        <v>467</v>
      </c>
      <c r="J12" s="1" t="s">
        <v>475</v>
      </c>
      <c r="K12" s="1" t="s">
        <v>530</v>
      </c>
    </row>
    <row r="13" spans="1:11" ht="96">
      <c r="A13" s="1" t="s">
        <v>13</v>
      </c>
      <c r="B13" s="1" t="s">
        <v>124</v>
      </c>
      <c r="C13" s="1" t="s">
        <v>531</v>
      </c>
      <c r="D13" s="45" t="s">
        <v>471</v>
      </c>
      <c r="E13" s="1" t="s">
        <v>532</v>
      </c>
      <c r="F13" s="1" t="s">
        <v>464</v>
      </c>
      <c r="G13" s="18" t="s">
        <v>533</v>
      </c>
      <c r="H13" s="1" t="s">
        <v>534</v>
      </c>
      <c r="I13" s="1" t="s">
        <v>467</v>
      </c>
      <c r="J13" s="1" t="s">
        <v>475</v>
      </c>
      <c r="K13" s="1" t="s">
        <v>535</v>
      </c>
    </row>
    <row r="14" spans="1:11" ht="80">
      <c r="A14" s="1" t="s">
        <v>13</v>
      </c>
      <c r="B14" s="1" t="s">
        <v>64</v>
      </c>
      <c r="C14" s="1" t="s">
        <v>536</v>
      </c>
      <c r="D14" s="45" t="s">
        <v>499</v>
      </c>
      <c r="E14" s="1" t="s">
        <v>537</v>
      </c>
      <c r="F14" s="1" t="s">
        <v>494</v>
      </c>
      <c r="G14" s="18" t="s">
        <v>538</v>
      </c>
      <c r="H14" s="1" t="s">
        <v>539</v>
      </c>
      <c r="I14" s="1" t="s">
        <v>467</v>
      </c>
      <c r="J14" s="1" t="s">
        <v>475</v>
      </c>
      <c r="K14" s="1" t="s">
        <v>540</v>
      </c>
    </row>
    <row r="15" spans="1:11" ht="80">
      <c r="A15" s="1" t="s">
        <v>13</v>
      </c>
      <c r="B15" s="1" t="s">
        <v>161</v>
      </c>
      <c r="C15" s="1" t="s">
        <v>541</v>
      </c>
      <c r="D15" s="48" t="s">
        <v>827</v>
      </c>
      <c r="E15" s="1" t="s">
        <v>542</v>
      </c>
      <c r="F15" s="1" t="s">
        <v>494</v>
      </c>
      <c r="G15" s="18" t="s">
        <v>543</v>
      </c>
      <c r="H15" s="1" t="s">
        <v>544</v>
      </c>
      <c r="I15" s="1" t="s">
        <v>467</v>
      </c>
      <c r="J15" s="1" t="s">
        <v>489</v>
      </c>
      <c r="K15" s="1" t="s">
        <v>545</v>
      </c>
    </row>
    <row r="16" spans="1:11" ht="96">
      <c r="A16" s="1" t="s">
        <v>13</v>
      </c>
      <c r="B16" s="1" t="s">
        <v>149</v>
      </c>
      <c r="C16" s="1" t="s">
        <v>546</v>
      </c>
      <c r="D16" s="45" t="s">
        <v>547</v>
      </c>
      <c r="E16" s="1" t="s">
        <v>548</v>
      </c>
      <c r="F16" s="1" t="s">
        <v>501</v>
      </c>
      <c r="G16" s="18" t="s">
        <v>549</v>
      </c>
      <c r="H16" s="1" t="s">
        <v>550</v>
      </c>
      <c r="I16" s="1" t="s">
        <v>467</v>
      </c>
      <c r="J16" s="1" t="s">
        <v>489</v>
      </c>
      <c r="K16" s="1" t="s">
        <v>551</v>
      </c>
    </row>
    <row r="17" spans="1:18" ht="96">
      <c r="A17" s="1" t="s">
        <v>13</v>
      </c>
      <c r="B17" s="1" t="s">
        <v>130</v>
      </c>
      <c r="C17" s="1" t="s">
        <v>552</v>
      </c>
      <c r="D17" s="45" t="s">
        <v>547</v>
      </c>
      <c r="E17" s="1" t="s">
        <v>553</v>
      </c>
      <c r="F17" s="1" t="s">
        <v>501</v>
      </c>
      <c r="G17" s="18" t="s">
        <v>554</v>
      </c>
      <c r="H17" s="1" t="s">
        <v>555</v>
      </c>
      <c r="I17" s="1" t="s">
        <v>467</v>
      </c>
      <c r="J17" s="1" t="s">
        <v>489</v>
      </c>
      <c r="K17" s="1" t="s">
        <v>556</v>
      </c>
    </row>
    <row r="18" spans="1:18" ht="96">
      <c r="A18" s="1" t="s">
        <v>13</v>
      </c>
      <c r="B18" s="1" t="s">
        <v>70</v>
      </c>
      <c r="C18" s="1" t="s">
        <v>557</v>
      </c>
      <c r="D18" s="45" t="s">
        <v>547</v>
      </c>
      <c r="E18" s="1" t="s">
        <v>558</v>
      </c>
      <c r="F18" s="1" t="s">
        <v>501</v>
      </c>
      <c r="G18" s="18" t="s">
        <v>559</v>
      </c>
      <c r="H18" s="1" t="s">
        <v>560</v>
      </c>
      <c r="I18" s="1" t="s">
        <v>467</v>
      </c>
      <c r="J18" s="1" t="s">
        <v>475</v>
      </c>
      <c r="K18" s="1" t="s">
        <v>561</v>
      </c>
    </row>
    <row r="19" spans="1:18" ht="96">
      <c r="A19" s="1" t="s">
        <v>13</v>
      </c>
      <c r="B19" s="1" t="s">
        <v>155</v>
      </c>
      <c r="C19" s="1" t="s">
        <v>562</v>
      </c>
      <c r="D19" s="45" t="s">
        <v>547</v>
      </c>
      <c r="E19" s="1" t="s">
        <v>563</v>
      </c>
      <c r="F19" s="1" t="s">
        <v>501</v>
      </c>
      <c r="G19" s="18" t="s">
        <v>564</v>
      </c>
      <c r="H19" s="1" t="s">
        <v>565</v>
      </c>
      <c r="I19" s="1" t="s">
        <v>467</v>
      </c>
      <c r="J19" s="1" t="s">
        <v>489</v>
      </c>
      <c r="K19" s="1" t="s">
        <v>566</v>
      </c>
    </row>
    <row r="20" spans="1:18" ht="96">
      <c r="A20" s="1" t="s">
        <v>13</v>
      </c>
      <c r="B20" s="1" t="s">
        <v>137</v>
      </c>
      <c r="C20" s="1" t="s">
        <v>567</v>
      </c>
      <c r="D20" s="45" t="s">
        <v>526</v>
      </c>
      <c r="E20" s="1" t="s">
        <v>568</v>
      </c>
      <c r="F20" s="1" t="s">
        <v>486</v>
      </c>
      <c r="G20" s="18" t="s">
        <v>569</v>
      </c>
      <c r="H20" s="1" t="s">
        <v>570</v>
      </c>
      <c r="I20" s="1" t="s">
        <v>467</v>
      </c>
      <c r="J20" s="1" t="s">
        <v>475</v>
      </c>
      <c r="K20" s="1" t="s">
        <v>571</v>
      </c>
    </row>
    <row r="21" spans="1:18" ht="96">
      <c r="A21" s="1" t="s">
        <v>13</v>
      </c>
      <c r="B21" s="1" t="s">
        <v>76</v>
      </c>
      <c r="C21" s="1" t="s">
        <v>572</v>
      </c>
      <c r="D21" s="45" t="s">
        <v>573</v>
      </c>
      <c r="E21" s="1" t="s">
        <v>574</v>
      </c>
      <c r="F21" s="1" t="s">
        <v>486</v>
      </c>
      <c r="G21" s="18" t="s">
        <v>575</v>
      </c>
      <c r="H21" s="1" t="s">
        <v>576</v>
      </c>
      <c r="I21" s="1" t="s">
        <v>467</v>
      </c>
      <c r="J21" s="1" t="s">
        <v>489</v>
      </c>
      <c r="K21" s="1" t="s">
        <v>577</v>
      </c>
    </row>
    <row r="22" spans="1:18" ht="96">
      <c r="A22" s="1" t="s">
        <v>13</v>
      </c>
      <c r="B22" s="1" t="s">
        <v>83</v>
      </c>
      <c r="C22" s="1" t="s">
        <v>578</v>
      </c>
      <c r="D22" s="45" t="s">
        <v>471</v>
      </c>
      <c r="E22" s="1" t="s">
        <v>579</v>
      </c>
      <c r="F22" s="1" t="s">
        <v>464</v>
      </c>
      <c r="G22" s="18" t="s">
        <v>580</v>
      </c>
      <c r="H22" s="1" t="s">
        <v>581</v>
      </c>
      <c r="I22" s="1" t="s">
        <v>467</v>
      </c>
      <c r="J22" s="1" t="s">
        <v>475</v>
      </c>
      <c r="K22" s="1" t="s">
        <v>582</v>
      </c>
    </row>
    <row r="23" spans="1:18" ht="80">
      <c r="A23" s="1" t="s">
        <v>13</v>
      </c>
      <c r="B23" s="1" t="s">
        <v>166</v>
      </c>
      <c r="C23" s="1" t="s">
        <v>583</v>
      </c>
      <c r="D23" s="45" t="s">
        <v>573</v>
      </c>
      <c r="E23" s="1" t="s">
        <v>584</v>
      </c>
      <c r="F23" s="1" t="s">
        <v>494</v>
      </c>
      <c r="G23" s="18" t="s">
        <v>585</v>
      </c>
      <c r="H23" s="1" t="s">
        <v>586</v>
      </c>
      <c r="I23" s="1" t="s">
        <v>467</v>
      </c>
      <c r="J23" s="1" t="s">
        <v>475</v>
      </c>
      <c r="K23" s="1" t="s">
        <v>587</v>
      </c>
    </row>
    <row r="24" spans="1:18" ht="96">
      <c r="A24" s="1" t="s">
        <v>13</v>
      </c>
      <c r="B24" s="1" t="s">
        <v>89</v>
      </c>
      <c r="C24" s="1" t="s">
        <v>588</v>
      </c>
      <c r="D24" s="45" t="s">
        <v>589</v>
      </c>
      <c r="E24" s="1" t="s">
        <v>590</v>
      </c>
      <c r="F24" s="1" t="s">
        <v>501</v>
      </c>
      <c r="G24" s="18" t="s">
        <v>591</v>
      </c>
      <c r="H24" s="1" t="s">
        <v>592</v>
      </c>
      <c r="I24" s="1" t="s">
        <v>467</v>
      </c>
      <c r="J24" s="1" t="s">
        <v>475</v>
      </c>
      <c r="K24" s="1" t="s">
        <v>593</v>
      </c>
    </row>
    <row r="25" spans="1:18" ht="80">
      <c r="A25" s="1" t="s">
        <v>13</v>
      </c>
      <c r="B25" s="1" t="s">
        <v>143</v>
      </c>
      <c r="C25" s="1" t="s">
        <v>594</v>
      </c>
      <c r="D25" s="45" t="s">
        <v>573</v>
      </c>
      <c r="E25" s="1" t="s">
        <v>595</v>
      </c>
      <c r="F25" s="1" t="s">
        <v>464</v>
      </c>
      <c r="G25" s="18" t="s">
        <v>596</v>
      </c>
      <c r="H25" s="1" t="s">
        <v>597</v>
      </c>
      <c r="I25" s="1" t="s">
        <v>467</v>
      </c>
      <c r="J25" s="1" t="s">
        <v>475</v>
      </c>
      <c r="K25" s="1" t="s">
        <v>598</v>
      </c>
    </row>
    <row r="26" spans="1:18">
      <c r="A26" s="1"/>
      <c r="B26" s="1"/>
      <c r="C26" s="1"/>
      <c r="D26" s="45"/>
      <c r="E26" s="1"/>
      <c r="F26" s="1"/>
      <c r="G26" s="18"/>
      <c r="H26" s="1"/>
      <c r="I26" s="1"/>
      <c r="J26" s="1"/>
      <c r="K26" s="1"/>
    </row>
    <row r="27" spans="1:18" ht="32">
      <c r="A27" s="1"/>
      <c r="B27" s="1"/>
      <c r="C27" s="1"/>
      <c r="D27" s="45"/>
      <c r="E27" s="1"/>
      <c r="F27" s="1"/>
      <c r="G27" s="18"/>
      <c r="H27" s="1"/>
      <c r="I27" s="1"/>
      <c r="J27" s="1"/>
      <c r="K27" s="1"/>
      <c r="R27" s="45" t="s">
        <v>589</v>
      </c>
    </row>
    <row r="28" spans="1:18">
      <c r="A28" s="1"/>
      <c r="B28" s="1"/>
      <c r="C28" s="1"/>
      <c r="D28" s="45"/>
      <c r="E28" s="1"/>
      <c r="F28" s="1"/>
      <c r="G28" s="18"/>
      <c r="H28" s="1"/>
      <c r="I28" s="1"/>
      <c r="J28" s="1"/>
      <c r="K28" s="1"/>
    </row>
    <row r="29" spans="1:18">
      <c r="A29" s="1"/>
      <c r="B29" s="1"/>
      <c r="C29" s="1"/>
      <c r="D29" s="45"/>
      <c r="E29" s="1"/>
      <c r="F29" s="1"/>
      <c r="G29" s="18"/>
      <c r="H29" s="1"/>
      <c r="I29" s="1"/>
      <c r="J29" s="1"/>
      <c r="K29" s="1"/>
    </row>
    <row r="30" spans="1:18">
      <c r="A30" s="1"/>
      <c r="B30" s="1"/>
      <c r="C30" s="1"/>
      <c r="D30" s="45"/>
      <c r="E30" s="1"/>
      <c r="F30" s="1"/>
      <c r="G30" s="18"/>
      <c r="H30" s="1"/>
      <c r="I30" s="1"/>
      <c r="J30" s="1"/>
      <c r="K30" s="1"/>
    </row>
    <row r="31" spans="1:18">
      <c r="A31" s="1"/>
      <c r="B31" s="1"/>
      <c r="C31" s="1"/>
      <c r="D31" s="45"/>
      <c r="E31" s="1"/>
      <c r="F31" s="1"/>
      <c r="G31" s="18"/>
      <c r="H31" s="1"/>
      <c r="I31" s="1"/>
      <c r="J31" s="1"/>
      <c r="K31" s="1"/>
    </row>
  </sheetData>
  <dataValidations count="2">
    <dataValidation type="list" sqref="I2:I99" xr:uid="{00000000-0002-0000-0300-000000000000}">
      <formula1>"unreviewed,needs review,validated,revised,exclude"</formula1>
    </dataValidation>
    <dataValidation type="list" sqref="J2:J99" xr:uid="{00000000-0002-0000-0300-000001000000}">
      <formula1>"yes,no,maybe"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0"/>
  <sheetViews>
    <sheetView topLeftCell="A19" zoomScale="75" workbookViewId="0">
      <selection activeCell="A13" sqref="A13:XFD13"/>
    </sheetView>
  </sheetViews>
  <sheetFormatPr baseColWidth="10" defaultColWidth="8.83203125" defaultRowHeight="15"/>
  <cols>
    <col min="1" max="1" width="24" customWidth="1"/>
    <col min="2" max="8" width="14" customWidth="1"/>
    <col min="9" max="9" width="58" customWidth="1"/>
    <col min="11" max="14" width="14" customWidth="1"/>
  </cols>
  <sheetData>
    <row r="1" spans="1:14" ht="18">
      <c r="A1" s="57" t="s">
        <v>599</v>
      </c>
      <c r="B1" s="58"/>
      <c r="C1" s="59"/>
      <c r="D1" s="59"/>
      <c r="E1" s="59"/>
      <c r="F1" s="59"/>
      <c r="G1" s="59"/>
      <c r="H1" s="59"/>
      <c r="I1" s="58"/>
      <c r="L1" s="17"/>
      <c r="M1" s="17"/>
      <c r="N1" s="17"/>
    </row>
    <row r="3" spans="1:14" ht="32">
      <c r="A3" s="16" t="s">
        <v>3</v>
      </c>
      <c r="B3" s="16" t="s">
        <v>361</v>
      </c>
      <c r="C3" s="16" t="s">
        <v>337</v>
      </c>
      <c r="D3" s="16" t="s">
        <v>338</v>
      </c>
      <c r="E3" s="16" t="s">
        <v>339</v>
      </c>
      <c r="F3" s="16" t="s">
        <v>340</v>
      </c>
      <c r="G3" s="16" t="s">
        <v>341</v>
      </c>
      <c r="H3" s="16" t="s">
        <v>342</v>
      </c>
      <c r="I3" s="16" t="s">
        <v>362</v>
      </c>
      <c r="K3" s="16" t="s">
        <v>3</v>
      </c>
      <c r="L3" s="16" t="s">
        <v>337</v>
      </c>
      <c r="M3" s="16" t="s">
        <v>338</v>
      </c>
      <c r="N3" s="16" t="s">
        <v>342</v>
      </c>
    </row>
    <row r="4" spans="1:14" ht="77.25" customHeight="1">
      <c r="A4" s="5" t="s">
        <v>15</v>
      </c>
      <c r="B4" s="5">
        <v>4</v>
      </c>
      <c r="C4" s="5">
        <v>35.133000000000003</v>
      </c>
      <c r="D4" s="5">
        <v>18.786999999999999</v>
      </c>
      <c r="E4" s="5">
        <v>10.039</v>
      </c>
      <c r="F4" s="5">
        <v>36.420999999999999</v>
      </c>
      <c r="G4" s="5">
        <v>21.294</v>
      </c>
      <c r="H4" s="5">
        <v>65.69</v>
      </c>
      <c r="I4" s="1" t="s">
        <v>600</v>
      </c>
      <c r="K4" t="s">
        <v>15</v>
      </c>
      <c r="L4">
        <v>35.133000000000003</v>
      </c>
      <c r="M4">
        <v>18.786999999999999</v>
      </c>
      <c r="N4">
        <v>65.69</v>
      </c>
    </row>
    <row r="5" spans="1:14" ht="77.25" customHeight="1">
      <c r="A5" s="5" t="s">
        <v>30</v>
      </c>
      <c r="B5" s="5">
        <v>6</v>
      </c>
      <c r="C5" s="5">
        <v>37.469000000000001</v>
      </c>
      <c r="D5" s="5">
        <v>13.369</v>
      </c>
      <c r="E5" s="5">
        <v>7.1920000000000002</v>
      </c>
      <c r="F5" s="5">
        <v>26.48</v>
      </c>
      <c r="G5" s="5">
        <v>7.33</v>
      </c>
      <c r="H5" s="5">
        <v>59.607999999999997</v>
      </c>
      <c r="I5" s="1" t="s">
        <v>601</v>
      </c>
      <c r="K5" t="s">
        <v>30</v>
      </c>
      <c r="L5">
        <v>37.469000000000001</v>
      </c>
      <c r="M5">
        <v>13.369</v>
      </c>
      <c r="N5">
        <v>59.607999999999997</v>
      </c>
    </row>
    <row r="6" spans="1:14" ht="77.25" customHeight="1">
      <c r="A6" s="5" t="s">
        <v>58</v>
      </c>
      <c r="B6" s="5">
        <v>9</v>
      </c>
      <c r="C6" s="5">
        <v>25.12</v>
      </c>
      <c r="D6" s="5">
        <v>10.359</v>
      </c>
      <c r="E6" s="5">
        <v>5.0369999999999999</v>
      </c>
      <c r="F6" s="5">
        <v>19.475000000000001</v>
      </c>
      <c r="G6" s="5">
        <v>4.282</v>
      </c>
      <c r="H6" s="5">
        <v>45.895000000000003</v>
      </c>
      <c r="I6" s="1" t="s">
        <v>602</v>
      </c>
      <c r="K6" t="s">
        <v>58</v>
      </c>
      <c r="L6">
        <v>25.12</v>
      </c>
      <c r="M6">
        <v>10.359</v>
      </c>
      <c r="N6">
        <v>45.895000000000003</v>
      </c>
    </row>
    <row r="7" spans="1:14" ht="77.25" customHeight="1">
      <c r="A7" s="5" t="s">
        <v>77</v>
      </c>
      <c r="B7" s="5">
        <v>5</v>
      </c>
      <c r="C7" s="5">
        <v>34.119</v>
      </c>
      <c r="D7" s="5">
        <v>8.1720000000000006</v>
      </c>
      <c r="E7" s="5">
        <v>4.0439999999999996</v>
      </c>
      <c r="F7" s="5">
        <v>15.760999999999999</v>
      </c>
      <c r="G7" s="5">
        <v>2.2389999999999999</v>
      </c>
      <c r="H7" s="5">
        <v>47.286000000000001</v>
      </c>
      <c r="I7" s="1" t="s">
        <v>603</v>
      </c>
      <c r="K7" t="s">
        <v>77</v>
      </c>
      <c r="L7">
        <v>34.119</v>
      </c>
      <c r="M7">
        <v>8.1720000000000006</v>
      </c>
      <c r="N7">
        <v>47.286000000000001</v>
      </c>
    </row>
    <row r="8" spans="1:14">
      <c r="A8" s="5"/>
      <c r="B8" s="5"/>
      <c r="C8" s="5"/>
      <c r="D8" s="5"/>
      <c r="E8" s="5"/>
      <c r="F8" s="5"/>
      <c r="G8" s="5"/>
      <c r="H8" s="5"/>
      <c r="I8" s="5"/>
    </row>
    <row r="10" spans="1:14">
      <c r="A10" s="60" t="s">
        <v>363</v>
      </c>
      <c r="B10" s="58"/>
      <c r="C10" s="58"/>
      <c r="D10" s="58"/>
      <c r="E10" s="58"/>
      <c r="F10" s="58"/>
      <c r="G10" s="58"/>
      <c r="H10" s="58"/>
      <c r="I10" s="58"/>
    </row>
    <row r="12" spans="1:14" ht="32">
      <c r="A12" s="16" t="s">
        <v>364</v>
      </c>
      <c r="B12" s="16" t="s">
        <v>361</v>
      </c>
      <c r="C12" s="16" t="s">
        <v>337</v>
      </c>
      <c r="D12" s="16" t="s">
        <v>338</v>
      </c>
      <c r="E12" s="16" t="s">
        <v>339</v>
      </c>
      <c r="F12" s="16" t="s">
        <v>340</v>
      </c>
      <c r="G12" s="16" t="s">
        <v>341</v>
      </c>
      <c r="H12" s="16" t="s">
        <v>342</v>
      </c>
      <c r="I12" s="16" t="s">
        <v>362</v>
      </c>
    </row>
    <row r="13" spans="1:14" ht="93" customHeight="1">
      <c r="A13" s="5" t="s">
        <v>604</v>
      </c>
      <c r="B13" s="5">
        <v>12</v>
      </c>
      <c r="C13" s="5">
        <v>39.557000000000002</v>
      </c>
      <c r="D13" s="5">
        <v>14.000999999999999</v>
      </c>
      <c r="E13" s="5">
        <v>6.2190000000000003</v>
      </c>
      <c r="F13" s="5">
        <v>25.196000000000002</v>
      </c>
      <c r="G13" s="5">
        <v>7.2229999999999999</v>
      </c>
      <c r="H13" s="5">
        <v>58.86</v>
      </c>
      <c r="I13" s="1" t="s">
        <v>825</v>
      </c>
    </row>
    <row r="14" spans="1:14" ht="77.25" customHeight="1">
      <c r="A14" s="5" t="s">
        <v>605</v>
      </c>
      <c r="B14" s="5">
        <v>12</v>
      </c>
      <c r="C14" s="5">
        <v>23.945</v>
      </c>
      <c r="D14" s="5">
        <v>10.119999999999999</v>
      </c>
      <c r="E14" s="5">
        <v>6.1859999999999999</v>
      </c>
      <c r="F14" s="5">
        <v>21.358000000000001</v>
      </c>
      <c r="G14" s="5">
        <v>7.6849999999999996</v>
      </c>
      <c r="H14" s="5">
        <v>46.963999999999999</v>
      </c>
      <c r="I14" s="1" t="s">
        <v>606</v>
      </c>
    </row>
    <row r="15" spans="1:14">
      <c r="A15" s="5"/>
      <c r="B15" s="5"/>
      <c r="C15" s="5"/>
      <c r="D15" s="5"/>
      <c r="E15" s="5"/>
      <c r="F15" s="5"/>
      <c r="G15" s="5"/>
      <c r="H15" s="5"/>
      <c r="I15" s="5"/>
    </row>
    <row r="17" spans="1:9" ht="29.25" customHeight="1">
      <c r="A17" s="61" t="s">
        <v>607</v>
      </c>
      <c r="B17" s="62"/>
      <c r="C17" s="62"/>
      <c r="D17" s="62"/>
      <c r="E17" s="62"/>
      <c r="F17" s="62"/>
      <c r="G17" s="62"/>
      <c r="H17" s="62"/>
      <c r="I17" s="62"/>
    </row>
    <row r="19" spans="1:9" ht="37.25" customHeight="1">
      <c r="A19" s="28" t="s">
        <v>608</v>
      </c>
      <c r="B19" s="28" t="s">
        <v>361</v>
      </c>
      <c r="C19" s="28" t="s">
        <v>337</v>
      </c>
      <c r="D19" s="28" t="s">
        <v>338</v>
      </c>
      <c r="E19" s="28" t="s">
        <v>339</v>
      </c>
      <c r="F19" s="28" t="s">
        <v>340</v>
      </c>
      <c r="G19" s="28" t="s">
        <v>341</v>
      </c>
      <c r="H19" s="28" t="s">
        <v>342</v>
      </c>
      <c r="I19" s="28" t="s">
        <v>362</v>
      </c>
    </row>
    <row r="20" spans="1:9" ht="77.25" customHeight="1">
      <c r="A20" s="5" t="s">
        <v>258</v>
      </c>
      <c r="B20" s="5">
        <v>6</v>
      </c>
      <c r="C20" s="5">
        <v>25.201000000000001</v>
      </c>
      <c r="D20" s="5">
        <v>9.6950000000000003</v>
      </c>
      <c r="E20" s="5">
        <v>5.7279999999999998</v>
      </c>
      <c r="F20" s="5">
        <v>20.533999999999999</v>
      </c>
      <c r="G20" s="5">
        <v>6.1230000000000002</v>
      </c>
      <c r="H20" s="1">
        <v>49.448999999999998</v>
      </c>
      <c r="I20" s="1" t="s">
        <v>609</v>
      </c>
    </row>
    <row r="21" spans="1:9" ht="77.25" customHeight="1">
      <c r="A21" s="5" t="s">
        <v>189</v>
      </c>
      <c r="B21" s="5">
        <v>5</v>
      </c>
      <c r="C21" s="5">
        <v>38.204999999999998</v>
      </c>
      <c r="D21" s="5">
        <v>16.818999999999999</v>
      </c>
      <c r="E21" s="5">
        <v>8.0830000000000002</v>
      </c>
      <c r="F21" s="5">
        <v>31.908000000000001</v>
      </c>
      <c r="G21" s="5">
        <v>11.57</v>
      </c>
      <c r="H21" s="1">
        <v>65.575000000000003</v>
      </c>
      <c r="I21" s="1" t="s">
        <v>610</v>
      </c>
    </row>
    <row r="22" spans="1:9" ht="77.25" customHeight="1">
      <c r="A22" s="5" t="s">
        <v>199</v>
      </c>
      <c r="B22" s="5">
        <v>12</v>
      </c>
      <c r="C22" s="5">
        <v>34.561999999999998</v>
      </c>
      <c r="D22" s="5">
        <v>12.010999999999999</v>
      </c>
      <c r="E22" s="5">
        <v>5.9660000000000002</v>
      </c>
      <c r="F22" s="5">
        <v>22.298999999999999</v>
      </c>
      <c r="G22" s="5">
        <v>7.0250000000000004</v>
      </c>
      <c r="H22" s="1">
        <v>52.453000000000003</v>
      </c>
      <c r="I22" s="1" t="s">
        <v>611</v>
      </c>
    </row>
    <row r="23" spans="1:9" ht="77.25" customHeight="1">
      <c r="A23" s="5" t="s">
        <v>612</v>
      </c>
      <c r="B23" s="5">
        <v>1</v>
      </c>
      <c r="C23" s="5">
        <v>5.048</v>
      </c>
      <c r="D23" s="5">
        <v>3.0579999999999998</v>
      </c>
      <c r="E23" s="5">
        <v>2.4820000000000002</v>
      </c>
      <c r="F23" s="5">
        <v>8.3109999999999999</v>
      </c>
      <c r="G23" s="5">
        <v>3.0000000000000001E-3</v>
      </c>
      <c r="H23" s="1">
        <v>15.882</v>
      </c>
      <c r="I23" s="1" t="s">
        <v>613</v>
      </c>
    </row>
    <row r="24" spans="1:9">
      <c r="A24" s="5"/>
      <c r="B24" s="5"/>
      <c r="C24" s="5"/>
      <c r="D24" s="5"/>
      <c r="E24" s="5"/>
      <c r="F24" s="5"/>
      <c r="G24" s="5"/>
      <c r="H24" s="5"/>
    </row>
    <row r="26" spans="1:9" ht="29.25" customHeight="1">
      <c r="A26" s="62" t="s">
        <v>614</v>
      </c>
      <c r="B26" s="62"/>
      <c r="C26" s="62"/>
      <c r="D26" s="62"/>
      <c r="E26" s="62"/>
      <c r="F26" s="62"/>
      <c r="G26" s="62"/>
      <c r="H26" s="62"/>
      <c r="I26" s="62"/>
    </row>
    <row r="28" spans="1:9" ht="37.25" customHeight="1">
      <c r="A28" s="28" t="s">
        <v>615</v>
      </c>
      <c r="B28" s="28" t="s">
        <v>361</v>
      </c>
      <c r="C28" s="28" t="s">
        <v>337</v>
      </c>
      <c r="D28" s="28" t="s">
        <v>338</v>
      </c>
      <c r="E28" s="28" t="s">
        <v>339</v>
      </c>
      <c r="F28" s="28" t="s">
        <v>340</v>
      </c>
      <c r="G28" s="28" t="s">
        <v>341</v>
      </c>
      <c r="H28" s="28" t="s">
        <v>342</v>
      </c>
      <c r="I28" s="28" t="s">
        <v>362</v>
      </c>
    </row>
    <row r="29" spans="1:9" ht="77.25" customHeight="1">
      <c r="A29" t="s">
        <v>198</v>
      </c>
      <c r="B29">
        <v>11</v>
      </c>
      <c r="C29">
        <v>40.856999999999999</v>
      </c>
      <c r="D29">
        <v>14.872999999999999</v>
      </c>
      <c r="E29">
        <v>7.1379999999999999</v>
      </c>
      <c r="F29">
        <v>27.231000000000002</v>
      </c>
      <c r="G29">
        <v>10.702</v>
      </c>
      <c r="H29">
        <v>59.052999999999997</v>
      </c>
      <c r="I29" s="1" t="s">
        <v>616</v>
      </c>
    </row>
    <row r="30" spans="1:9" ht="77.25" customHeight="1">
      <c r="A30" t="s">
        <v>188</v>
      </c>
      <c r="B30">
        <v>10</v>
      </c>
      <c r="C30">
        <v>25.472999999999999</v>
      </c>
      <c r="D30">
        <v>10.776</v>
      </c>
      <c r="E30">
        <v>5.7409999999999997</v>
      </c>
      <c r="F30">
        <v>21.634</v>
      </c>
      <c r="G30">
        <v>5.8289999999999997</v>
      </c>
      <c r="H30">
        <v>49.128999999999998</v>
      </c>
      <c r="I30" s="1" t="s">
        <v>617</v>
      </c>
    </row>
    <row r="31" spans="1:9" ht="77.25" customHeight="1">
      <c r="A31" t="s">
        <v>288</v>
      </c>
      <c r="B31">
        <v>3</v>
      </c>
      <c r="C31">
        <v>19.288</v>
      </c>
      <c r="D31">
        <v>6.0309999999999997</v>
      </c>
      <c r="E31">
        <v>4.3079999999999998</v>
      </c>
      <c r="F31">
        <v>14.253</v>
      </c>
      <c r="G31">
        <v>0.96</v>
      </c>
      <c r="H31">
        <v>43.005000000000003</v>
      </c>
      <c r="I31" s="1" t="s">
        <v>618</v>
      </c>
    </row>
    <row r="33" spans="1:9" ht="29.25" customHeight="1">
      <c r="A33" s="62" t="s">
        <v>619</v>
      </c>
      <c r="B33" s="62"/>
      <c r="C33" s="62"/>
      <c r="D33" s="62"/>
      <c r="E33" s="62"/>
      <c r="F33" s="62"/>
      <c r="G33" s="62"/>
      <c r="H33" s="62"/>
      <c r="I33" s="62"/>
    </row>
    <row r="35" spans="1:9" ht="37.25" customHeight="1">
      <c r="A35" s="28" t="s">
        <v>620</v>
      </c>
      <c r="B35" s="28" t="s">
        <v>361</v>
      </c>
      <c r="C35" s="28" t="s">
        <v>337</v>
      </c>
      <c r="D35" s="28" t="s">
        <v>338</v>
      </c>
      <c r="E35" s="28" t="s">
        <v>339</v>
      </c>
      <c r="F35" s="28" t="s">
        <v>340</v>
      </c>
      <c r="G35" s="28" t="s">
        <v>341</v>
      </c>
      <c r="H35" s="28" t="s">
        <v>342</v>
      </c>
      <c r="I35" s="28" t="s">
        <v>362</v>
      </c>
    </row>
    <row r="36" spans="1:9" ht="77.25" customHeight="1">
      <c r="A36" t="s">
        <v>621</v>
      </c>
      <c r="B36">
        <v>4</v>
      </c>
      <c r="C36">
        <v>42.088999999999999</v>
      </c>
      <c r="D36">
        <v>19.196999999999999</v>
      </c>
      <c r="E36">
        <v>8.8789999999999996</v>
      </c>
      <c r="F36">
        <v>35.692</v>
      </c>
      <c r="G36">
        <v>14.135999999999999</v>
      </c>
      <c r="H36">
        <v>68.903000000000006</v>
      </c>
      <c r="I36" s="1" t="s">
        <v>622</v>
      </c>
    </row>
    <row r="37" spans="1:9" ht="77.25" customHeight="1">
      <c r="A37" t="s">
        <v>623</v>
      </c>
      <c r="B37">
        <v>2</v>
      </c>
      <c r="C37">
        <v>43.664000000000001</v>
      </c>
      <c r="D37">
        <v>18.623999999999999</v>
      </c>
      <c r="E37">
        <v>9.1920000000000002</v>
      </c>
      <c r="F37">
        <v>35.469000000000001</v>
      </c>
      <c r="G37">
        <v>16.927</v>
      </c>
      <c r="H37">
        <v>73.724999999999994</v>
      </c>
      <c r="I37" s="1" t="s">
        <v>624</v>
      </c>
    </row>
    <row r="38" spans="1:9" ht="77.25" customHeight="1">
      <c r="A38" t="s">
        <v>625</v>
      </c>
      <c r="B38">
        <v>4</v>
      </c>
      <c r="C38">
        <v>15.97</v>
      </c>
      <c r="D38">
        <v>5.2309999999999999</v>
      </c>
      <c r="E38">
        <v>3.996</v>
      </c>
      <c r="F38">
        <v>13.067</v>
      </c>
      <c r="G38">
        <v>0.72099999999999997</v>
      </c>
      <c r="H38">
        <v>37.311999999999998</v>
      </c>
      <c r="I38" s="1" t="s">
        <v>626</v>
      </c>
    </row>
    <row r="39" spans="1:9" ht="77.25" customHeight="1">
      <c r="A39" t="s">
        <v>627</v>
      </c>
      <c r="B39">
        <v>4</v>
      </c>
      <c r="C39">
        <v>27.187999999999999</v>
      </c>
      <c r="D39">
        <v>10.856999999999999</v>
      </c>
      <c r="E39">
        <v>6.43</v>
      </c>
      <c r="F39">
        <v>22.297999999999998</v>
      </c>
      <c r="G39">
        <v>5.2009999999999996</v>
      </c>
      <c r="H39">
        <v>50.472000000000001</v>
      </c>
      <c r="I39" s="1" t="s">
        <v>628</v>
      </c>
    </row>
    <row r="40" spans="1:9" ht="77.25" customHeight="1">
      <c r="A40" t="s">
        <v>629</v>
      </c>
      <c r="B40">
        <v>7</v>
      </c>
      <c r="C40">
        <v>37.700000000000003</v>
      </c>
      <c r="D40">
        <v>10.558</v>
      </c>
      <c r="E40">
        <v>4.468</v>
      </c>
      <c r="F40">
        <v>18.37</v>
      </c>
      <c r="G40">
        <v>2.6070000000000002</v>
      </c>
      <c r="H40">
        <v>50.892000000000003</v>
      </c>
      <c r="I40" s="1" t="s">
        <v>630</v>
      </c>
    </row>
  </sheetData>
  <mergeCells count="5">
    <mergeCell ref="A1:I1"/>
    <mergeCell ref="A10:I10"/>
    <mergeCell ref="A17:I17"/>
    <mergeCell ref="A26:I26"/>
    <mergeCell ref="A33:I3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workbookViewId="0">
      <selection activeCell="D9" sqref="D9"/>
    </sheetView>
  </sheetViews>
  <sheetFormatPr baseColWidth="10" defaultColWidth="8.83203125" defaultRowHeight="15"/>
  <cols>
    <col min="1" max="1" width="12" customWidth="1"/>
    <col min="2" max="4" width="42" customWidth="1"/>
    <col min="5" max="5" width="18.33203125" customWidth="1"/>
    <col min="6" max="6" width="42" customWidth="1"/>
    <col min="7" max="7" width="28" customWidth="1"/>
  </cols>
  <sheetData>
    <row r="1" spans="1:7" ht="18">
      <c r="A1" s="63" t="s">
        <v>631</v>
      </c>
      <c r="B1" s="58"/>
      <c r="C1" s="58"/>
      <c r="D1" s="58"/>
      <c r="E1" s="58"/>
      <c r="F1" s="58"/>
      <c r="G1" s="58"/>
    </row>
    <row r="3" spans="1:7" ht="16">
      <c r="A3" s="16" t="s">
        <v>365</v>
      </c>
      <c r="B3" s="16" t="s">
        <v>366</v>
      </c>
      <c r="C3" s="16" t="s">
        <v>367</v>
      </c>
      <c r="D3" s="16" t="s">
        <v>368</v>
      </c>
      <c r="E3" s="16" t="s">
        <v>632</v>
      </c>
      <c r="F3" s="16" t="s">
        <v>369</v>
      </c>
      <c r="G3" s="16" t="s">
        <v>370</v>
      </c>
    </row>
    <row r="4" spans="1:7" ht="93.25" customHeight="1">
      <c r="A4" s="1" t="s">
        <v>633</v>
      </c>
      <c r="B4" s="1" t="s">
        <v>634</v>
      </c>
      <c r="C4" s="1" t="s">
        <v>635</v>
      </c>
      <c r="D4" s="18" t="s">
        <v>636</v>
      </c>
      <c r="E4" s="18" t="s">
        <v>637</v>
      </c>
      <c r="F4" s="1" t="s">
        <v>638</v>
      </c>
      <c r="G4" s="1" t="s">
        <v>639</v>
      </c>
    </row>
    <row r="5" spans="1:7" ht="93.25" customHeight="1">
      <c r="A5" s="1" t="s">
        <v>640</v>
      </c>
      <c r="B5" s="1" t="s">
        <v>641</v>
      </c>
      <c r="C5" s="1" t="s">
        <v>642</v>
      </c>
      <c r="D5" s="18" t="s">
        <v>643</v>
      </c>
      <c r="E5" s="18" t="s">
        <v>644</v>
      </c>
      <c r="F5" s="1" t="s">
        <v>645</v>
      </c>
      <c r="G5" s="1" t="s">
        <v>646</v>
      </c>
    </row>
    <row r="6" spans="1:7" ht="93.25" customHeight="1">
      <c r="A6" s="1" t="s">
        <v>647</v>
      </c>
      <c r="B6" s="1" t="s">
        <v>648</v>
      </c>
      <c r="C6" s="1" t="s">
        <v>649</v>
      </c>
      <c r="D6" s="26" t="s">
        <v>650</v>
      </c>
      <c r="E6" s="26" t="s">
        <v>651</v>
      </c>
      <c r="F6" s="1" t="s">
        <v>652</v>
      </c>
      <c r="G6" s="1" t="s">
        <v>653</v>
      </c>
    </row>
    <row r="7" spans="1:7" ht="93.25" customHeight="1">
      <c r="A7" s="1" t="s">
        <v>654</v>
      </c>
      <c r="B7" s="27" t="s">
        <v>655</v>
      </c>
      <c r="C7" s="27" t="s">
        <v>656</v>
      </c>
      <c r="D7" s="18" t="s">
        <v>657</v>
      </c>
      <c r="E7" s="18" t="s">
        <v>658</v>
      </c>
      <c r="F7" s="1" t="s">
        <v>659</v>
      </c>
      <c r="G7" s="1" t="s">
        <v>660</v>
      </c>
    </row>
    <row r="8" spans="1:7" ht="93.25" customHeight="1">
      <c r="A8" s="1" t="s">
        <v>661</v>
      </c>
      <c r="B8" s="1" t="s">
        <v>662</v>
      </c>
      <c r="C8" s="1" t="s">
        <v>663</v>
      </c>
      <c r="D8" s="18" t="s">
        <v>664</v>
      </c>
      <c r="E8" s="18" t="s">
        <v>665</v>
      </c>
      <c r="F8" s="1" t="s">
        <v>666</v>
      </c>
      <c r="G8" s="1" t="s">
        <v>667</v>
      </c>
    </row>
    <row r="9" spans="1:7" ht="93.25" customHeight="1">
      <c r="A9" s="1" t="s">
        <v>668</v>
      </c>
      <c r="B9" s="1" t="s">
        <v>669</v>
      </c>
      <c r="C9" s="1" t="s">
        <v>670</v>
      </c>
      <c r="D9" s="18" t="s">
        <v>671</v>
      </c>
      <c r="E9" s="18" t="s">
        <v>672</v>
      </c>
      <c r="F9" s="1" t="s">
        <v>673</v>
      </c>
      <c r="G9" s="1" t="s">
        <v>674</v>
      </c>
    </row>
    <row r="10" spans="1:7" ht="93.25" customHeight="1">
      <c r="A10" s="1" t="s">
        <v>675</v>
      </c>
      <c r="B10" s="1" t="s">
        <v>676</v>
      </c>
      <c r="C10" s="1" t="s">
        <v>677</v>
      </c>
      <c r="D10" s="1" t="s">
        <v>678</v>
      </c>
      <c r="E10" s="1" t="s">
        <v>679</v>
      </c>
      <c r="F10" s="1" t="s">
        <v>680</v>
      </c>
      <c r="G10" s="1" t="s">
        <v>89</v>
      </c>
    </row>
  </sheetData>
  <mergeCells count="1">
    <mergeCell ref="A1:G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4"/>
  <sheetViews>
    <sheetView workbookViewId="0"/>
  </sheetViews>
  <sheetFormatPr baseColWidth="10" defaultColWidth="8.83203125" defaultRowHeight="15"/>
  <cols>
    <col min="1" max="1" width="28" customWidth="1"/>
    <col min="2" max="2" width="60" customWidth="1"/>
    <col min="3" max="3" width="76" customWidth="1"/>
  </cols>
  <sheetData>
    <row r="1" spans="1:3" ht="160.25" customHeight="1">
      <c r="A1" s="3" t="s">
        <v>371</v>
      </c>
      <c r="B1" s="3" t="s">
        <v>372</v>
      </c>
      <c r="C1" s="3" t="s">
        <v>373</v>
      </c>
    </row>
    <row r="2" spans="1:3" ht="16">
      <c r="A2" s="1" t="s">
        <v>3</v>
      </c>
      <c r="B2" s="1" t="s">
        <v>374</v>
      </c>
      <c r="C2" s="1" t="s">
        <v>375</v>
      </c>
    </row>
    <row r="3" spans="1:3" ht="16">
      <c r="A3" s="1" t="s">
        <v>178</v>
      </c>
      <c r="B3" s="1" t="s">
        <v>376</v>
      </c>
      <c r="C3" s="1" t="s">
        <v>377</v>
      </c>
    </row>
    <row r="4" spans="1:3" ht="16">
      <c r="A4" s="1" t="s">
        <v>179</v>
      </c>
      <c r="B4" s="1" t="s">
        <v>378</v>
      </c>
      <c r="C4" s="1" t="s">
        <v>379</v>
      </c>
    </row>
    <row r="5" spans="1:3" ht="16">
      <c r="A5" s="1" t="s">
        <v>181</v>
      </c>
      <c r="B5" s="1" t="s">
        <v>380</v>
      </c>
      <c r="C5" s="1" t="s">
        <v>381</v>
      </c>
    </row>
    <row r="6" spans="1:3" ht="16">
      <c r="A6" s="1" t="s">
        <v>382</v>
      </c>
      <c r="B6" s="1" t="s">
        <v>383</v>
      </c>
      <c r="C6" s="1" t="s">
        <v>384</v>
      </c>
    </row>
    <row r="7" spans="1:3" ht="32">
      <c r="A7" s="1" t="s">
        <v>353</v>
      </c>
      <c r="B7" s="1" t="s">
        <v>385</v>
      </c>
      <c r="C7" s="1" t="s">
        <v>386</v>
      </c>
    </row>
    <row r="8" spans="1:3" ht="32">
      <c r="A8" s="1" t="s">
        <v>355</v>
      </c>
      <c r="B8" s="1" t="s">
        <v>387</v>
      </c>
      <c r="C8" s="1" t="s">
        <v>388</v>
      </c>
    </row>
    <row r="9" spans="1:3" ht="16">
      <c r="A9" s="1" t="s">
        <v>358</v>
      </c>
      <c r="B9" s="1" t="s">
        <v>389</v>
      </c>
      <c r="C9" s="1" t="s">
        <v>390</v>
      </c>
    </row>
    <row r="10" spans="1:3" ht="16">
      <c r="A10" s="1" t="s">
        <v>359</v>
      </c>
      <c r="B10" s="1" t="s">
        <v>391</v>
      </c>
      <c r="C10" s="1" t="s">
        <v>392</v>
      </c>
    </row>
    <row r="11" spans="1:3" ht="16">
      <c r="A11" s="5" t="s">
        <v>5</v>
      </c>
      <c r="B11" s="5" t="s">
        <v>393</v>
      </c>
      <c r="C11" s="5" t="s">
        <v>394</v>
      </c>
    </row>
    <row r="12" spans="1:3" ht="16">
      <c r="A12" s="5" t="s">
        <v>8</v>
      </c>
      <c r="B12" s="5" t="s">
        <v>395</v>
      </c>
      <c r="C12" s="5" t="s">
        <v>396</v>
      </c>
    </row>
    <row r="13" spans="1:3" ht="16">
      <c r="A13" s="5" t="s">
        <v>397</v>
      </c>
      <c r="B13" s="5" t="s">
        <v>398</v>
      </c>
      <c r="C13" s="5" t="s">
        <v>399</v>
      </c>
    </row>
    <row r="14" spans="1:3" ht="16">
      <c r="A14" s="5" t="s">
        <v>400</v>
      </c>
      <c r="B14" s="5" t="s">
        <v>401</v>
      </c>
      <c r="C14" s="5" t="s">
        <v>402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baseColWidth="10" defaultColWidth="8.83203125" defaultRowHeight="15"/>
  <cols>
    <col min="1" max="1" width="24" customWidth="1"/>
    <col min="2" max="2" width="95" customWidth="1"/>
  </cols>
  <sheetData>
    <row r="1" spans="1:2" ht="160.25" customHeight="1">
      <c r="A1" s="3" t="s">
        <v>403</v>
      </c>
      <c r="B1" s="3" t="s">
        <v>404</v>
      </c>
    </row>
    <row r="2" spans="1:2" ht="32">
      <c r="A2" s="1" t="s">
        <v>405</v>
      </c>
      <c r="B2" s="1" t="s">
        <v>406</v>
      </c>
    </row>
    <row r="3" spans="1:2" ht="32">
      <c r="A3" s="1" t="s">
        <v>407</v>
      </c>
      <c r="B3" s="1" t="s">
        <v>408</v>
      </c>
    </row>
    <row r="4" spans="1:2" ht="32">
      <c r="A4" s="1" t="s">
        <v>409</v>
      </c>
      <c r="B4" s="1" t="s">
        <v>410</v>
      </c>
    </row>
    <row r="5" spans="1:2" ht="32">
      <c r="A5" s="1" t="s">
        <v>411</v>
      </c>
      <c r="B5" s="1" t="s">
        <v>412</v>
      </c>
    </row>
    <row r="6" spans="1:2" ht="32">
      <c r="A6" s="1" t="s">
        <v>413</v>
      </c>
      <c r="B6" s="1" t="s">
        <v>414</v>
      </c>
    </row>
    <row r="7" spans="1:2" ht="32">
      <c r="A7" s="1" t="s">
        <v>415</v>
      </c>
      <c r="B7" s="1" t="s">
        <v>416</v>
      </c>
    </row>
    <row r="8" spans="1:2" ht="32">
      <c r="A8" s="1" t="s">
        <v>417</v>
      </c>
      <c r="B8" s="1" t="s">
        <v>418</v>
      </c>
    </row>
    <row r="9" spans="1:2" ht="32">
      <c r="A9" s="5" t="s">
        <v>419</v>
      </c>
      <c r="B9" s="5" t="s">
        <v>420</v>
      </c>
    </row>
    <row r="10" spans="1:2" ht="48">
      <c r="A10" s="5" t="s">
        <v>421</v>
      </c>
      <c r="B10" s="5" t="s">
        <v>422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showGridLines="0" workbookViewId="0">
      <selection activeCell="B17" sqref="B17"/>
    </sheetView>
  </sheetViews>
  <sheetFormatPr baseColWidth="10" defaultColWidth="8.83203125" defaultRowHeight="15"/>
  <cols>
    <col min="1" max="1" width="34" customWidth="1"/>
    <col min="2" max="2" width="120" customWidth="1"/>
  </cols>
  <sheetData>
    <row r="1" spans="1:2" ht="15" customHeight="1">
      <c r="A1" s="13" t="s">
        <v>423</v>
      </c>
      <c r="B1" s="13" t="s">
        <v>424</v>
      </c>
    </row>
    <row r="2" spans="1:2" ht="15" customHeight="1">
      <c r="A2" s="5" t="s">
        <v>425</v>
      </c>
      <c r="B2" s="5" t="s">
        <v>426</v>
      </c>
    </row>
    <row r="3" spans="1:2" ht="15" customHeight="1">
      <c r="A3" s="5" t="s">
        <v>427</v>
      </c>
      <c r="B3" s="5" t="s">
        <v>829</v>
      </c>
    </row>
    <row r="4" spans="1:2" ht="15" customHeight="1">
      <c r="A4" s="5" t="s">
        <v>428</v>
      </c>
      <c r="B4" s="5" t="s">
        <v>830</v>
      </c>
    </row>
    <row r="5" spans="1:2" ht="15" customHeight="1">
      <c r="A5" s="5" t="s">
        <v>429</v>
      </c>
      <c r="B5" s="5" t="s">
        <v>430</v>
      </c>
    </row>
    <row r="6" spans="1:2" ht="15" customHeight="1">
      <c r="A6" s="5" t="s">
        <v>431</v>
      </c>
      <c r="B6" s="5">
        <v>24</v>
      </c>
    </row>
    <row r="7" spans="1:2" ht="15" customHeight="1">
      <c r="A7" s="5" t="s">
        <v>432</v>
      </c>
      <c r="B7" s="5">
        <v>24</v>
      </c>
    </row>
    <row r="8" spans="1:2" ht="15" customHeight="1">
      <c r="A8" s="5" t="s">
        <v>433</v>
      </c>
      <c r="B8" s="5">
        <v>0</v>
      </c>
    </row>
    <row r="9" spans="1:2" ht="15" customHeight="1">
      <c r="A9" s="5" t="s">
        <v>434</v>
      </c>
      <c r="B9" s="5">
        <v>552</v>
      </c>
    </row>
    <row r="10" spans="1:2" ht="15" customHeight="1">
      <c r="A10" s="5" t="s">
        <v>435</v>
      </c>
      <c r="B10" s="5">
        <v>24</v>
      </c>
    </row>
    <row r="11" spans="1:2" ht="15" customHeight="1">
      <c r="A11" s="5" t="s">
        <v>436</v>
      </c>
      <c r="B11" s="5">
        <v>4</v>
      </c>
    </row>
    <row r="12" spans="1:2" ht="29" customHeight="1">
      <c r="A12" s="5" t="s">
        <v>437</v>
      </c>
      <c r="B12" s="5">
        <v>0</v>
      </c>
    </row>
    <row r="13" spans="1:2" ht="25" customHeight="1">
      <c r="A13" s="5" t="s">
        <v>438</v>
      </c>
      <c r="B13" s="5" t="s">
        <v>439</v>
      </c>
    </row>
    <row r="14" spans="1:2" ht="55" customHeight="1">
      <c r="A14" s="5" t="s">
        <v>440</v>
      </c>
      <c r="B14" s="5" t="s">
        <v>441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0"/>
  <sheetViews>
    <sheetView workbookViewId="0">
      <selection sqref="A1:G1"/>
    </sheetView>
  </sheetViews>
  <sheetFormatPr baseColWidth="10" defaultColWidth="8.83203125" defaultRowHeight="15"/>
  <cols>
    <col min="1" max="1" width="18" customWidth="1"/>
    <col min="2" max="5" width="12" customWidth="1"/>
    <col min="6" max="7" width="38" customWidth="1"/>
  </cols>
  <sheetData>
    <row r="1" spans="1:7" ht="18">
      <c r="A1" s="64" t="s">
        <v>442</v>
      </c>
      <c r="B1" s="58"/>
      <c r="C1" s="58"/>
      <c r="D1" s="58"/>
      <c r="E1" s="59"/>
      <c r="F1" s="58"/>
      <c r="G1" s="58"/>
    </row>
    <row r="3" spans="1:7" ht="16">
      <c r="A3" s="16" t="s">
        <v>443</v>
      </c>
      <c r="B3" s="16" t="s">
        <v>444</v>
      </c>
      <c r="C3" s="16" t="s">
        <v>1</v>
      </c>
      <c r="D3" s="16" t="s">
        <v>3</v>
      </c>
      <c r="E3" s="16" t="s">
        <v>424</v>
      </c>
      <c r="F3" s="16" t="s">
        <v>445</v>
      </c>
      <c r="G3" s="16" t="s">
        <v>446</v>
      </c>
    </row>
    <row r="4" spans="1:7" ht="32">
      <c r="A4" s="5" t="s">
        <v>337</v>
      </c>
      <c r="B4" s="5" t="s">
        <v>447</v>
      </c>
      <c r="C4" s="5" t="s">
        <v>38</v>
      </c>
      <c r="D4" s="5" t="s">
        <v>30</v>
      </c>
      <c r="E4" s="5">
        <v>61.593000000000004</v>
      </c>
      <c r="F4" s="5" t="s">
        <v>448</v>
      </c>
      <c r="G4" s="5" t="s">
        <v>42</v>
      </c>
    </row>
    <row r="5" spans="1:7" ht="32">
      <c r="A5" s="5" t="s">
        <v>337</v>
      </c>
      <c r="B5" s="5" t="s">
        <v>447</v>
      </c>
      <c r="C5" s="5" t="s">
        <v>83</v>
      </c>
      <c r="D5" s="5" t="s">
        <v>77</v>
      </c>
      <c r="E5" s="5">
        <v>61.070999999999998</v>
      </c>
      <c r="F5" s="5" t="s">
        <v>85</v>
      </c>
      <c r="G5" s="5" t="s">
        <v>449</v>
      </c>
    </row>
    <row r="6" spans="1:7" ht="16">
      <c r="A6" s="5" t="s">
        <v>337</v>
      </c>
      <c r="B6" s="5" t="s">
        <v>447</v>
      </c>
      <c r="C6" s="5" t="s">
        <v>89</v>
      </c>
      <c r="D6" s="5" t="s">
        <v>77</v>
      </c>
      <c r="E6" s="5">
        <v>56.734000000000002</v>
      </c>
      <c r="F6" s="5" t="s">
        <v>92</v>
      </c>
      <c r="G6" s="5" t="s">
        <v>95</v>
      </c>
    </row>
    <row r="7" spans="1:7" ht="32">
      <c r="A7" s="5" t="s">
        <v>337</v>
      </c>
      <c r="B7" s="5" t="s">
        <v>450</v>
      </c>
      <c r="C7" s="5" t="s">
        <v>29</v>
      </c>
      <c r="D7" s="5" t="s">
        <v>30</v>
      </c>
      <c r="E7" s="5">
        <v>4.1470000000000002</v>
      </c>
      <c r="F7" s="5" t="s">
        <v>33</v>
      </c>
      <c r="G7" s="5" t="s">
        <v>451</v>
      </c>
    </row>
    <row r="8" spans="1:7" ht="32">
      <c r="A8" s="5" t="s">
        <v>337</v>
      </c>
      <c r="B8" s="5" t="s">
        <v>450</v>
      </c>
      <c r="C8" s="5" t="s">
        <v>149</v>
      </c>
      <c r="D8" s="5" t="s">
        <v>58</v>
      </c>
      <c r="E8" s="5">
        <v>5.048</v>
      </c>
      <c r="F8" s="5" t="s">
        <v>151</v>
      </c>
      <c r="G8" s="5" t="s">
        <v>452</v>
      </c>
    </row>
    <row r="9" spans="1:7" ht="32">
      <c r="A9" s="5" t="s">
        <v>337</v>
      </c>
      <c r="B9" s="5" t="s">
        <v>450</v>
      </c>
      <c r="C9" s="5" t="s">
        <v>137</v>
      </c>
      <c r="D9" s="5" t="s">
        <v>58</v>
      </c>
      <c r="E9" s="5">
        <v>6.0149999999999997</v>
      </c>
      <c r="F9" s="5" t="s">
        <v>139</v>
      </c>
      <c r="G9" s="5" t="s">
        <v>453</v>
      </c>
    </row>
    <row r="10" spans="1:7" ht="32">
      <c r="A10" s="5" t="s">
        <v>338</v>
      </c>
      <c r="B10" s="5" t="s">
        <v>447</v>
      </c>
      <c r="C10" s="5" t="s">
        <v>104</v>
      </c>
      <c r="D10" s="5" t="s">
        <v>15</v>
      </c>
      <c r="E10" s="5">
        <v>26.792000000000002</v>
      </c>
      <c r="F10" s="5" t="s">
        <v>107</v>
      </c>
      <c r="G10" s="5" t="s">
        <v>109</v>
      </c>
    </row>
    <row r="11" spans="1:7" ht="32">
      <c r="A11" s="5" t="s">
        <v>338</v>
      </c>
      <c r="B11" s="5" t="s">
        <v>447</v>
      </c>
      <c r="C11" s="5" t="s">
        <v>14</v>
      </c>
      <c r="D11" s="5" t="s">
        <v>15</v>
      </c>
      <c r="E11" s="5">
        <v>21.427</v>
      </c>
      <c r="F11" s="5" t="s">
        <v>19</v>
      </c>
      <c r="G11" s="5" t="s">
        <v>22</v>
      </c>
    </row>
    <row r="12" spans="1:7" ht="32">
      <c r="A12" s="5" t="s">
        <v>338</v>
      </c>
      <c r="B12" s="5" t="s">
        <v>447</v>
      </c>
      <c r="C12" s="5" t="s">
        <v>124</v>
      </c>
      <c r="D12" s="5" t="s">
        <v>58</v>
      </c>
      <c r="E12" s="5">
        <v>19.93</v>
      </c>
      <c r="F12" s="5" t="s">
        <v>126</v>
      </c>
      <c r="G12" s="5" t="s">
        <v>454</v>
      </c>
    </row>
    <row r="13" spans="1:7" ht="32">
      <c r="A13" s="5" t="s">
        <v>338</v>
      </c>
      <c r="B13" s="5" t="s">
        <v>450</v>
      </c>
      <c r="C13" s="5" t="s">
        <v>29</v>
      </c>
      <c r="D13" s="5" t="s">
        <v>30</v>
      </c>
      <c r="E13" s="5">
        <v>2.133</v>
      </c>
      <c r="F13" s="5" t="s">
        <v>33</v>
      </c>
      <c r="G13" s="5" t="s">
        <v>451</v>
      </c>
    </row>
    <row r="14" spans="1:7" ht="32">
      <c r="A14" s="5" t="s">
        <v>338</v>
      </c>
      <c r="B14" s="5" t="s">
        <v>450</v>
      </c>
      <c r="C14" s="5" t="s">
        <v>137</v>
      </c>
      <c r="D14" s="5" t="s">
        <v>58</v>
      </c>
      <c r="E14" s="5">
        <v>2.8290000000000002</v>
      </c>
      <c r="F14" s="5" t="s">
        <v>139</v>
      </c>
      <c r="G14" s="5" t="s">
        <v>453</v>
      </c>
    </row>
    <row r="15" spans="1:7" ht="32">
      <c r="A15" s="5" t="s">
        <v>338</v>
      </c>
      <c r="B15" s="5" t="s">
        <v>450</v>
      </c>
      <c r="C15" s="5" t="s">
        <v>149</v>
      </c>
      <c r="D15" s="5" t="s">
        <v>58</v>
      </c>
      <c r="E15" s="5">
        <v>3.0579999999999998</v>
      </c>
      <c r="F15" s="5" t="s">
        <v>151</v>
      </c>
      <c r="G15" s="5" t="s">
        <v>452</v>
      </c>
    </row>
    <row r="16" spans="1:7" ht="32">
      <c r="A16" s="5" t="s">
        <v>339</v>
      </c>
      <c r="B16" s="5" t="s">
        <v>447</v>
      </c>
      <c r="C16" s="5" t="s">
        <v>104</v>
      </c>
      <c r="D16" s="5" t="s">
        <v>15</v>
      </c>
      <c r="E16" s="5">
        <v>14.602</v>
      </c>
      <c r="F16" s="5" t="s">
        <v>107</v>
      </c>
      <c r="G16" s="5" t="s">
        <v>109</v>
      </c>
    </row>
    <row r="17" spans="1:7" ht="32">
      <c r="A17" s="5" t="s">
        <v>339</v>
      </c>
      <c r="B17" s="5" t="s">
        <v>447</v>
      </c>
      <c r="C17" s="5" t="s">
        <v>24</v>
      </c>
      <c r="D17" s="5" t="s">
        <v>15</v>
      </c>
      <c r="E17" s="5">
        <v>11.032999999999999</v>
      </c>
      <c r="F17" s="5" t="s">
        <v>19</v>
      </c>
      <c r="G17" s="5" t="s">
        <v>455</v>
      </c>
    </row>
    <row r="18" spans="1:7" ht="32">
      <c r="A18" s="5" t="s">
        <v>339</v>
      </c>
      <c r="B18" s="5" t="s">
        <v>447</v>
      </c>
      <c r="C18" s="5" t="s">
        <v>124</v>
      </c>
      <c r="D18" s="5" t="s">
        <v>58</v>
      </c>
      <c r="E18" s="5">
        <v>10.547000000000001</v>
      </c>
      <c r="F18" s="5" t="s">
        <v>126</v>
      </c>
      <c r="G18" s="5" t="s">
        <v>454</v>
      </c>
    </row>
    <row r="19" spans="1:7" ht="16">
      <c r="A19" s="5" t="s">
        <v>339</v>
      </c>
      <c r="B19" s="5" t="s">
        <v>450</v>
      </c>
      <c r="C19" s="5" t="s">
        <v>89</v>
      </c>
      <c r="D19" s="5" t="s">
        <v>77</v>
      </c>
      <c r="E19" s="5">
        <v>1.1739999999999999</v>
      </c>
      <c r="F19" s="5" t="s">
        <v>92</v>
      </c>
      <c r="G19" s="5" t="s">
        <v>95</v>
      </c>
    </row>
    <row r="20" spans="1:7" ht="32">
      <c r="A20" s="5" t="s">
        <v>339</v>
      </c>
      <c r="B20" s="5" t="s">
        <v>450</v>
      </c>
      <c r="C20" s="5" t="s">
        <v>155</v>
      </c>
      <c r="D20" s="5" t="s">
        <v>58</v>
      </c>
      <c r="E20" s="5">
        <v>2.33</v>
      </c>
      <c r="F20" s="5" t="s">
        <v>157</v>
      </c>
      <c r="G20" s="5" t="s">
        <v>456</v>
      </c>
    </row>
    <row r="21" spans="1:7" ht="32">
      <c r="A21" s="5" t="s">
        <v>339</v>
      </c>
      <c r="B21" s="5" t="s">
        <v>450</v>
      </c>
      <c r="C21" s="5" t="s">
        <v>149</v>
      </c>
      <c r="D21" s="5" t="s">
        <v>58</v>
      </c>
      <c r="E21" s="5">
        <v>2.4820000000000002</v>
      </c>
      <c r="F21" s="5" t="s">
        <v>151</v>
      </c>
      <c r="G21" s="5" t="s">
        <v>452</v>
      </c>
    </row>
    <row r="22" spans="1:7" ht="32">
      <c r="A22" s="5" t="s">
        <v>340</v>
      </c>
      <c r="B22" s="5" t="s">
        <v>447</v>
      </c>
      <c r="C22" s="5" t="s">
        <v>104</v>
      </c>
      <c r="D22" s="5" t="s">
        <v>15</v>
      </c>
      <c r="E22" s="5">
        <v>49.798999999999999</v>
      </c>
      <c r="F22" s="5" t="s">
        <v>107</v>
      </c>
      <c r="G22" s="5" t="s">
        <v>109</v>
      </c>
    </row>
    <row r="23" spans="1:7" ht="32">
      <c r="A23" s="5" t="s">
        <v>340</v>
      </c>
      <c r="B23" s="5" t="s">
        <v>447</v>
      </c>
      <c r="C23" s="5" t="s">
        <v>124</v>
      </c>
      <c r="D23" s="5" t="s">
        <v>58</v>
      </c>
      <c r="E23" s="5">
        <v>39.951999999999998</v>
      </c>
      <c r="F23" s="5" t="s">
        <v>126</v>
      </c>
      <c r="G23" s="5" t="s">
        <v>454</v>
      </c>
    </row>
    <row r="24" spans="1:7" ht="32">
      <c r="A24" s="5" t="s">
        <v>340</v>
      </c>
      <c r="B24" s="5" t="s">
        <v>447</v>
      </c>
      <c r="C24" s="5" t="s">
        <v>24</v>
      </c>
      <c r="D24" s="5" t="s">
        <v>15</v>
      </c>
      <c r="E24" s="5">
        <v>39.841999999999999</v>
      </c>
      <c r="F24" s="5" t="s">
        <v>19</v>
      </c>
      <c r="G24" s="5" t="s">
        <v>455</v>
      </c>
    </row>
    <row r="25" spans="1:7" ht="32">
      <c r="A25" s="5" t="s">
        <v>340</v>
      </c>
      <c r="B25" s="5" t="s">
        <v>450</v>
      </c>
      <c r="C25" s="5" t="s">
        <v>155</v>
      </c>
      <c r="D25" s="5" t="s">
        <v>58</v>
      </c>
      <c r="E25" s="5">
        <v>7.7249999999999996</v>
      </c>
      <c r="F25" s="5" t="s">
        <v>157</v>
      </c>
      <c r="G25" s="5" t="s">
        <v>456</v>
      </c>
    </row>
    <row r="26" spans="1:7" ht="32">
      <c r="A26" s="5" t="s">
        <v>340</v>
      </c>
      <c r="B26" s="5" t="s">
        <v>450</v>
      </c>
      <c r="C26" s="5" t="s">
        <v>29</v>
      </c>
      <c r="D26" s="5" t="s">
        <v>30</v>
      </c>
      <c r="E26" s="5">
        <v>7.859</v>
      </c>
      <c r="F26" s="5" t="s">
        <v>33</v>
      </c>
      <c r="G26" s="5" t="s">
        <v>451</v>
      </c>
    </row>
    <row r="27" spans="1:7" ht="16">
      <c r="A27" s="5" t="s">
        <v>340</v>
      </c>
      <c r="B27" s="5" t="s">
        <v>450</v>
      </c>
      <c r="C27" s="5" t="s">
        <v>89</v>
      </c>
      <c r="D27" s="5" t="s">
        <v>77</v>
      </c>
      <c r="E27" s="5">
        <v>8.0619999999999994</v>
      </c>
      <c r="F27" s="5" t="s">
        <v>92</v>
      </c>
      <c r="G27" s="5" t="s">
        <v>95</v>
      </c>
    </row>
    <row r="28" spans="1:7" ht="32">
      <c r="A28" s="5" t="s">
        <v>341</v>
      </c>
      <c r="B28" s="5" t="s">
        <v>447</v>
      </c>
      <c r="C28" s="5" t="s">
        <v>104</v>
      </c>
      <c r="D28" s="5" t="s">
        <v>15</v>
      </c>
      <c r="E28" s="5">
        <v>45.247</v>
      </c>
      <c r="F28" s="5" t="s">
        <v>107</v>
      </c>
      <c r="G28" s="5" t="s">
        <v>109</v>
      </c>
    </row>
    <row r="29" spans="1:7" ht="32">
      <c r="A29" s="5" t="s">
        <v>341</v>
      </c>
      <c r="B29" s="5" t="s">
        <v>447</v>
      </c>
      <c r="C29" s="5" t="s">
        <v>124</v>
      </c>
      <c r="D29" s="5" t="s">
        <v>58</v>
      </c>
      <c r="E29" s="5">
        <v>21.972999999999999</v>
      </c>
      <c r="F29" s="5" t="s">
        <v>126</v>
      </c>
      <c r="G29" s="5" t="s">
        <v>454</v>
      </c>
    </row>
    <row r="30" spans="1:7" ht="32">
      <c r="A30" s="5" t="s">
        <v>341</v>
      </c>
      <c r="B30" s="5" t="s">
        <v>447</v>
      </c>
      <c r="C30" s="5" t="s">
        <v>14</v>
      </c>
      <c r="D30" s="5" t="s">
        <v>15</v>
      </c>
      <c r="E30" s="5">
        <v>20.672000000000001</v>
      </c>
      <c r="F30" s="5" t="s">
        <v>19</v>
      </c>
      <c r="G30" s="5" t="s">
        <v>22</v>
      </c>
    </row>
    <row r="31" spans="1:7" ht="16">
      <c r="A31" s="5" t="s">
        <v>341</v>
      </c>
      <c r="B31" s="5" t="s">
        <v>450</v>
      </c>
      <c r="C31" s="5" t="s">
        <v>89</v>
      </c>
      <c r="D31" s="5" t="s">
        <v>77</v>
      </c>
      <c r="E31" s="5">
        <v>0</v>
      </c>
      <c r="F31" s="5" t="s">
        <v>92</v>
      </c>
      <c r="G31" s="5" t="s">
        <v>95</v>
      </c>
    </row>
    <row r="32" spans="1:7" ht="32">
      <c r="A32" s="5" t="s">
        <v>341</v>
      </c>
      <c r="B32" s="5" t="s">
        <v>450</v>
      </c>
      <c r="C32" s="5" t="s">
        <v>44</v>
      </c>
      <c r="D32" s="5" t="s">
        <v>30</v>
      </c>
      <c r="E32" s="5">
        <v>0</v>
      </c>
      <c r="F32" s="5" t="s">
        <v>457</v>
      </c>
      <c r="G32" s="5" t="s">
        <v>458</v>
      </c>
    </row>
    <row r="33" spans="1:7" ht="32">
      <c r="A33" s="5" t="s">
        <v>341</v>
      </c>
      <c r="B33" s="5" t="s">
        <v>450</v>
      </c>
      <c r="C33" s="5" t="s">
        <v>137</v>
      </c>
      <c r="D33" s="5" t="s">
        <v>58</v>
      </c>
      <c r="E33" s="5">
        <v>1E-3</v>
      </c>
      <c r="F33" s="5" t="s">
        <v>139</v>
      </c>
      <c r="G33" s="5" t="s">
        <v>453</v>
      </c>
    </row>
    <row r="34" spans="1:7" ht="32">
      <c r="A34" s="5" t="s">
        <v>342</v>
      </c>
      <c r="B34" s="5" t="s">
        <v>447</v>
      </c>
      <c r="C34" s="5" t="s">
        <v>24</v>
      </c>
      <c r="D34" s="5" t="s">
        <v>15</v>
      </c>
      <c r="E34" s="5">
        <v>76.524000000000001</v>
      </c>
      <c r="F34" s="5" t="s">
        <v>19</v>
      </c>
      <c r="G34" s="5" t="s">
        <v>455</v>
      </c>
    </row>
    <row r="35" spans="1:7" ht="32">
      <c r="A35" s="5" t="s">
        <v>342</v>
      </c>
      <c r="B35" s="5" t="s">
        <v>447</v>
      </c>
      <c r="C35" s="5" t="s">
        <v>51</v>
      </c>
      <c r="D35" s="5" t="s">
        <v>30</v>
      </c>
      <c r="E35" s="5">
        <v>76.105999999999995</v>
      </c>
      <c r="F35" s="5" t="s">
        <v>53</v>
      </c>
      <c r="G35" s="5" t="s">
        <v>459</v>
      </c>
    </row>
    <row r="36" spans="1:7" ht="32">
      <c r="A36" s="5" t="s">
        <v>342</v>
      </c>
      <c r="B36" s="5" t="s">
        <v>447</v>
      </c>
      <c r="C36" s="5" t="s">
        <v>57</v>
      </c>
      <c r="D36" s="5" t="s">
        <v>58</v>
      </c>
      <c r="E36" s="5">
        <v>74.468999999999994</v>
      </c>
      <c r="F36" s="5" t="s">
        <v>60</v>
      </c>
      <c r="G36" s="5" t="s">
        <v>460</v>
      </c>
    </row>
    <row r="37" spans="1:7" ht="32">
      <c r="A37" s="5" t="s">
        <v>342</v>
      </c>
      <c r="B37" s="5" t="s">
        <v>450</v>
      </c>
      <c r="C37" s="5" t="s">
        <v>149</v>
      </c>
      <c r="D37" s="5" t="s">
        <v>58</v>
      </c>
      <c r="E37" s="5">
        <v>15.882</v>
      </c>
      <c r="F37" s="5" t="s">
        <v>151</v>
      </c>
      <c r="G37" s="5" t="s">
        <v>452</v>
      </c>
    </row>
    <row r="38" spans="1:7" ht="32">
      <c r="A38" s="5" t="s">
        <v>342</v>
      </c>
      <c r="B38" s="5" t="s">
        <v>450</v>
      </c>
      <c r="C38" s="5" t="s">
        <v>29</v>
      </c>
      <c r="D38" s="5" t="s">
        <v>30</v>
      </c>
      <c r="E38" s="5">
        <v>17.081</v>
      </c>
      <c r="F38" s="5" t="s">
        <v>33</v>
      </c>
      <c r="G38" s="5" t="s">
        <v>451</v>
      </c>
    </row>
    <row r="39" spans="1:7" ht="32">
      <c r="A39" s="5" t="s">
        <v>342</v>
      </c>
      <c r="B39" s="5" t="s">
        <v>450</v>
      </c>
      <c r="C39" s="5" t="s">
        <v>155</v>
      </c>
      <c r="D39" s="5" t="s">
        <v>58</v>
      </c>
      <c r="E39" s="5">
        <v>17.902000000000001</v>
      </c>
      <c r="F39" s="5" t="s">
        <v>157</v>
      </c>
      <c r="G39" s="5" t="s">
        <v>456</v>
      </c>
    </row>
    <row r="40" spans="1:7">
      <c r="A40" s="5"/>
      <c r="B40" s="5"/>
      <c r="C40" s="5"/>
      <c r="D40" s="5"/>
      <c r="E40" s="5"/>
      <c r="F40" s="5"/>
      <c r="G40" s="5"/>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Stages</vt:lpstr>
      <vt:lpstr>Human_Clip_Annotation</vt:lpstr>
      <vt:lpstr>AI_Background_Detection</vt:lpstr>
      <vt:lpstr>LAB_Metrics</vt:lpstr>
      <vt:lpstr>Analysis_Output</vt:lpstr>
      <vt:lpstr>Stage_Summary</vt:lpstr>
      <vt:lpstr>Global_Findings</vt:lpstr>
      <vt:lpstr>Controlled_Vocabulary</vt:lpstr>
      <vt:lpstr>Workflow_Guide</vt:lpstr>
      <vt:lpstr>Processing_Log</vt:lpstr>
      <vt:lpstr>Clip_Rankings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Jemince</cp:lastModifiedBy>
  <dcterms:modified xsi:type="dcterms:W3CDTF">2026-08-23T15:20:19Z</dcterms:modified>
</cp:coreProperties>
</file>